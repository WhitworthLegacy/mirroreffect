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4"/>
    <sheet state="visible" name="Stats" sheetId="2" r:id="rId5"/>
    <sheet state="visible" name="Students" sheetId="3" r:id="rId6"/>
    <sheet state="visible" name="Commercial" sheetId="4" r:id="rId7"/>
    <sheet state="visible" name="KPI" sheetId="5" r:id="rId8"/>
    <sheet state="visible" name="Compta" sheetId="6" r:id="rId9"/>
  </sheets>
  <definedNames>
    <definedName hidden="1" localSheetId="0" name="_xlnm._FilterDatabase">Clients!$A$1:$AM$144</definedName>
  </definedNames>
  <calcPr/>
</workbook>
</file>

<file path=xl/sharedStrings.xml><?xml version="1.0" encoding="utf-8"?>
<sst xmlns="http://schemas.openxmlformats.org/spreadsheetml/2006/main" count="1827" uniqueCount="1104">
  <si>
    <t>Nom</t>
  </si>
  <si>
    <t>Email</t>
  </si>
  <si>
    <t>Phone</t>
  </si>
  <si>
    <t>Language</t>
  </si>
  <si>
    <t>Date Formulaire</t>
  </si>
  <si>
    <t>Date Event</t>
  </si>
  <si>
    <t>Heure Début</t>
  </si>
  <si>
    <t>Heure Fin</t>
  </si>
  <si>
    <t>Lieu Event</t>
  </si>
  <si>
    <t>Type Event</t>
  </si>
  <si>
    <t>Invités</t>
  </si>
  <si>
    <t>Pack</t>
  </si>
  <si>
    <t>Pack (€)</t>
  </si>
  <si>
    <t>Transport (€)</t>
  </si>
  <si>
    <t>Supplément</t>
  </si>
  <si>
    <t>Supplément (h)</t>
  </si>
  <si>
    <t>Supplément (€)</t>
  </si>
  <si>
    <t>Date acompte payé</t>
  </si>
  <si>
    <t>Acompte</t>
  </si>
  <si>
    <t>Total</t>
  </si>
  <si>
    <t>Solde Restant</t>
  </si>
  <si>
    <t>Etudiant</t>
  </si>
  <si>
    <t>Heures Etudiant</t>
  </si>
  <si>
    <t>Etudiant €/Event</t>
  </si>
  <si>
    <t>KM (Aller)</t>
  </si>
  <si>
    <t>KM (Total)</t>
  </si>
  <si>
    <t>Coût Essence</t>
  </si>
  <si>
    <t>Commercial</t>
  </si>
  <si>
    <t>Comm Commercial</t>
  </si>
  <si>
    <t>Marge Brut (Event)</t>
  </si>
  <si>
    <t>Lien Invoice</t>
  </si>
  <si>
    <t>Lien Galerie</t>
  </si>
  <si>
    <t>Lien ZIP</t>
  </si>
  <si>
    <t>Event ID</t>
  </si>
  <si>
    <t>Sync Status</t>
  </si>
  <si>
    <t>Review Status</t>
  </si>
  <si>
    <t>Annual Offer Status</t>
  </si>
  <si>
    <t>Acompte Facture</t>
  </si>
  <si>
    <t>Solde Facture</t>
  </si>
  <si>
    <t>Hanan et Geoffrey - Zara</t>
  </si>
  <si>
    <t>0485 70 88 23</t>
  </si>
  <si>
    <t>FR</t>
  </si>
  <si>
    <t>B2B</t>
  </si>
  <si>
    <t>Premium</t>
  </si>
  <si>
    <t>Abdel</t>
  </si>
  <si>
    <t>8lv5q8g0s9fm99631th446r44c@google.com</t>
  </si>
  <si>
    <t>OK 2026-01-02 09:35</t>
  </si>
  <si>
    <t>Angélique Crucilla - Commune Fleurus</t>
  </si>
  <si>
    <t>0483/12.26.35</t>
  </si>
  <si>
    <t>Chemin de Mons 61, Fleurus</t>
  </si>
  <si>
    <t>Essentiel</t>
  </si>
  <si>
    <t>sct6isre8vahfts4ir6u9a5jj4@google.com</t>
  </si>
  <si>
    <t>OK 2025-12-01 19:15</t>
  </si>
  <si>
    <t>2025_0001</t>
  </si>
  <si>
    <t>2025_0035</t>
  </si>
  <si>
    <t>Stocq Marie-Christine - police Bruneau</t>
  </si>
  <si>
    <t>071/820161</t>
  </si>
  <si>
    <t>t8hfdemg2ucfctt81b1f5qn8c0@google.com</t>
  </si>
  <si>
    <t>2025_0002</t>
  </si>
  <si>
    <t xml:space="preserve">MIFRATEL </t>
  </si>
  <si>
    <t>2025_0036</t>
  </si>
  <si>
    <t>Natacha Gallo</t>
  </si>
  <si>
    <t>gallonatacha509@gmail.com</t>
  </si>
  <si>
    <t>0472 04 16 34</t>
  </si>
  <si>
    <t>Prestige du clothaire, Quévy</t>
  </si>
  <si>
    <t>Mariage</t>
  </si>
  <si>
    <t>Découverte</t>
  </si>
  <si>
    <t>qtpq6pr8uro4osq6c8j4fupa3c@google.com</t>
  </si>
  <si>
    <t>OK 2025-12-01 19:14</t>
  </si>
  <si>
    <t>2025_0003</t>
  </si>
  <si>
    <t>Carole Crunelle</t>
  </si>
  <si>
    <t>carole.crunelle@hotmail.com</t>
  </si>
  <si>
    <t>0476 856 004</t>
  </si>
  <si>
    <t>Rue de Tournai 188, 7333 Saint-Ghislain</t>
  </si>
  <si>
    <t>voku23g04gc3ftjs94t9njrlgo@google.com</t>
  </si>
  <si>
    <t>OK 2025-12-01 19:12</t>
  </si>
  <si>
    <t>Sent</t>
  </si>
  <si>
    <t>2025_0011</t>
  </si>
  <si>
    <t>Catherine Onclin</t>
  </si>
  <si>
    <t>catherine.onclin@gmail.com</t>
  </si>
  <si>
    <t>0470 50 44 32</t>
  </si>
  <si>
    <t>Hasselt (Tiendschuur Herkenrode)</t>
  </si>
  <si>
    <t>8siq7u4sh6ggev6knle9psg2n4@google.com</t>
  </si>
  <si>
    <t>OK 2025-12-01 19:11</t>
  </si>
  <si>
    <t>2025_0015</t>
  </si>
  <si>
    <t>Jordan Farias</t>
  </si>
  <si>
    <t>jordan.farias@verisure.be</t>
  </si>
  <si>
    <t>0471621626</t>
  </si>
  <si>
    <t>Rue Lannoy 145, 7740 Pecq</t>
  </si>
  <si>
    <t>op3lh8589jogdlqsl3k22dgdeo@google.com</t>
  </si>
  <si>
    <t>OK 2025-12-01 19:25</t>
  </si>
  <si>
    <t>2024_0001</t>
  </si>
  <si>
    <t>Maeva Dos Santos</t>
  </si>
  <si>
    <t>maevadd2@outlook.fr</t>
  </si>
  <si>
    <t>0033 6 16 02 25 29</t>
  </si>
  <si>
    <t>salle alta ripa, Avelgem</t>
  </si>
  <si>
    <t>ou1tjsn0jb2u3c62dlcjg4atr4@google.com</t>
  </si>
  <si>
    <t>OK 2025-12-01 19:09</t>
  </si>
  <si>
    <t>2025_0017</t>
  </si>
  <si>
    <t>Lyna Botte</t>
  </si>
  <si>
    <t>bottelyna27@gmail.com</t>
  </si>
  <si>
    <t>0485 69 22 87</t>
  </si>
  <si>
    <t>Salle The villa Event</t>
  </si>
  <si>
    <t>mju0pfaqqciofm6k92f94vibis@google.com</t>
  </si>
  <si>
    <t>OK 2025-12-01 19:08</t>
  </si>
  <si>
    <t>2025_0020</t>
  </si>
  <si>
    <t>Serge Skrzypek</t>
  </si>
  <si>
    <t>Skrzypek_s@hotmail.com</t>
  </si>
  <si>
    <t>0474450223</t>
  </si>
  <si>
    <t>210 rue Alphonse Allard, 1420 Braine L'Alleud</t>
  </si>
  <si>
    <t>0m6f00d2p66tgi3vv2cjrlvgjo@google.com</t>
  </si>
  <si>
    <t>2025_0010</t>
  </si>
  <si>
    <t>2025_0021</t>
  </si>
  <si>
    <t>Mike et Julie Deboeck</t>
  </si>
  <si>
    <t>vandenbemden_julie@outlook.com</t>
  </si>
  <si>
    <t>0477783468</t>
  </si>
  <si>
    <t>La ferme de Bertinchamps, Ophain</t>
  </si>
  <si>
    <t>dqje0kkk2d3o655gr9h2erjs5c@google.com</t>
  </si>
  <si>
    <t>OK 2025-12-01 19:07</t>
  </si>
  <si>
    <t>2025_0024</t>
  </si>
  <si>
    <t>Abdelrani bousnina</t>
  </si>
  <si>
    <t>Abdelranibousnina@gmail.com</t>
  </si>
  <si>
    <t>0484 067 079</t>
  </si>
  <si>
    <t>Hendrik Kuijpersstraat 49, 2640  Mortsel</t>
  </si>
  <si>
    <t>8hol2v8lrsg60g2tk172hcb65k@google.com</t>
  </si>
  <si>
    <t>2025_0022</t>
  </si>
  <si>
    <t>2025_0025</t>
  </si>
  <si>
    <t>Annick Allard</t>
  </si>
  <si>
    <t>Annickallard1985@gmail.com</t>
  </si>
  <si>
    <t>0471 08 94 51</t>
  </si>
  <si>
    <t>Avenue Jean-François Debecker 54B, 1200 Woluwe-Saint-Lambert</t>
  </si>
  <si>
    <t>ech3tbfs4r0kljmsggbf1eq8i8@google.com</t>
  </si>
  <si>
    <t>2025_0004</t>
  </si>
  <si>
    <t>2025_0030</t>
  </si>
  <si>
    <t>Ioan Taziana</t>
  </si>
  <si>
    <t>decamk.tiziana@gmail.com</t>
  </si>
  <si>
    <t>0499 32 24 98</t>
  </si>
  <si>
    <t>rue des brasseries 10, 7170 Manage</t>
  </si>
  <si>
    <t>2tkfj4g8sjt8obb2j0urr77598@google.com</t>
  </si>
  <si>
    <t>OK 2025-12-01 19:06</t>
  </si>
  <si>
    <t>2025_0026</t>
  </si>
  <si>
    <t>2025_0031</t>
  </si>
  <si>
    <t>Didier Blesin</t>
  </si>
  <si>
    <t>didier.blesin@gmail.com</t>
  </si>
  <si>
    <t>0497 41 14 73</t>
  </si>
  <si>
    <t>Chaussée de bruxelles 111, 1310 La Hulpe</t>
  </si>
  <si>
    <t>9k5vis2g0ic9glbnn5l0k5ior0@google.com</t>
  </si>
  <si>
    <t>OK 2025-12-01 19:13</t>
  </si>
  <si>
    <t>2025_0007</t>
  </si>
  <si>
    <t>2025_0032</t>
  </si>
  <si>
    <t>Samira Natiq</t>
  </si>
  <si>
    <t>samiranatiq@gmail.com</t>
  </si>
  <si>
    <t>0485037895</t>
  </si>
  <si>
    <t>La Louvière</t>
  </si>
  <si>
    <t>8eh62mlikvfitg943t7b72sctg@google.com</t>
  </si>
  <si>
    <t>2025_0008</t>
  </si>
  <si>
    <t>2025_0034</t>
  </si>
  <si>
    <t>Meli Meli</t>
  </si>
  <si>
    <t>a580dr3lnta2gc398qf7a4qeug@google.com</t>
  </si>
  <si>
    <t>OK 2025-11-21 21:18</t>
  </si>
  <si>
    <t>a1vjn8877eje74j131lmvrgqks@google.com</t>
  </si>
  <si>
    <t>Fatima</t>
  </si>
  <si>
    <t>Tahiri-fatima@hotmail.com</t>
  </si>
  <si>
    <t>0484761578</t>
  </si>
  <si>
    <t>Oudstrijderslaan 200, 1140 Evere</t>
  </si>
  <si>
    <t>omujkk1igs6bb0rhvimuudmhvc@google.com</t>
  </si>
  <si>
    <t>OK 2025-12-01 19:26</t>
  </si>
  <si>
    <t>2024_0002</t>
  </si>
  <si>
    <t>Magali Rosa Lopez</t>
  </si>
  <si>
    <t>lopez4781@hotmail.com</t>
  </si>
  <si>
    <t>0479 84 65 30</t>
  </si>
  <si>
    <t>Place du Mole 11, Braine-L'alleud</t>
  </si>
  <si>
    <t>a7egjnkibo8vjv91ltjqklona4@google.com</t>
  </si>
  <si>
    <t>2025_0027</t>
  </si>
  <si>
    <t>2024_0003</t>
  </si>
  <si>
    <t>Jennifer Jacquemin</t>
  </si>
  <si>
    <t>jenniferjacquemin@outlook.be</t>
  </si>
  <si>
    <t>0492 96 03 66</t>
  </si>
  <si>
    <t>Rue des chapelain 6, 4000 Liège</t>
  </si>
  <si>
    <t>r94e53c6vics8vrlj4le27373o@google.com</t>
  </si>
  <si>
    <t>OK 2025-12-01 19:05</t>
  </si>
  <si>
    <t>2025_0029</t>
  </si>
  <si>
    <t>2025_0037</t>
  </si>
  <si>
    <t>Mathilde Debay</t>
  </si>
  <si>
    <t>mathilde.debay@gmail.com</t>
  </si>
  <si>
    <t>0478 92 84 07</t>
  </si>
  <si>
    <t>Rue du parc 4, 4577 Modave</t>
  </si>
  <si>
    <t>ba31nuhi5p57glrmq85m8octh0@google.com</t>
  </si>
  <si>
    <t>OK 2025-12-01 19:04</t>
  </si>
  <si>
    <t>2025_0033</t>
  </si>
  <si>
    <t>2025_0038</t>
  </si>
  <si>
    <t>Laura Kowalsi</t>
  </si>
  <si>
    <t>laura.kowalski@hotmail.fr</t>
  </si>
  <si>
    <t>0033615253010</t>
  </si>
  <si>
    <t>214 rue Roger salengro, 59590 raismes</t>
  </si>
  <si>
    <t>3l3p48p658l0qru1jn0fs0jomo@google.com</t>
  </si>
  <si>
    <t>2025_0013</t>
  </si>
  <si>
    <t>2025_0039</t>
  </si>
  <si>
    <t>Kevin Ladeuze</t>
  </si>
  <si>
    <t>k.ladeuze@outlook.com</t>
  </si>
  <si>
    <t>0494361803</t>
  </si>
  <si>
    <t>rue Grégoire jurion 22, 7120 vellereille-les-brayeux</t>
  </si>
  <si>
    <t>rqgp73fd6udgfsmc7t1738me5s@google.com</t>
  </si>
  <si>
    <t>OK 2025-12-01 18:57</t>
  </si>
  <si>
    <t>2025_0042</t>
  </si>
  <si>
    <t>Olivier Vanhuysse</t>
  </si>
  <si>
    <t>ovanhuysse@gmail.com</t>
  </si>
  <si>
    <t>0473 30 16 86</t>
  </si>
  <si>
    <t>Rue de la longue semaine, 1460 Ittre</t>
  </si>
  <si>
    <t>5frs8959qd51eovoq5oltr2pvc@google.com</t>
  </si>
  <si>
    <t>2025_0009</t>
  </si>
  <si>
    <t>2025_0043</t>
  </si>
  <si>
    <t>Fortuna Giovanni</t>
  </si>
  <si>
    <t>fortunagiovanni@hotmail.com</t>
  </si>
  <si>
    <t>0472261163</t>
  </si>
  <si>
    <t>83 voie des fosses, 4607 dalhem</t>
  </si>
  <si>
    <t>q7v7c1gh8ued6dojf497pjd7h0@google.com</t>
  </si>
  <si>
    <t>OK 2025-12-01 18:56</t>
  </si>
  <si>
    <t>2025_0044</t>
  </si>
  <si>
    <t>2025_0045</t>
  </si>
  <si>
    <t>Alexia Cuffaro</t>
  </si>
  <si>
    <t>0492 57 14 99</t>
  </si>
  <si>
    <t>Rue docteur E. Neuville 17, 4530 Villers le Bouillet</t>
  </si>
  <si>
    <t>45mvgl689is6kanieu791ik2nk@google.com</t>
  </si>
  <si>
    <t>OK 2025-11-22 13:01</t>
  </si>
  <si>
    <t>Clément Picard</t>
  </si>
  <si>
    <t>yaelle.clement.home@gmail.com</t>
  </si>
  <si>
    <t>0033 750381771</t>
  </si>
  <si>
    <t>Château de Bac Saint Maur, Sailly sur la Lys</t>
  </si>
  <si>
    <t>6mjjfbvf15rrv3i73lc7o8avm0@google.com</t>
  </si>
  <si>
    <t>2025_0047</t>
  </si>
  <si>
    <t>Melissa Dasouza</t>
  </si>
  <si>
    <t>melissa.dasouza60@orange.fr</t>
  </si>
  <si>
    <t>0685 63 24 67</t>
  </si>
  <si>
    <t>Éteignières, 08260, France</t>
  </si>
  <si>
    <t>m2f093aot0iv83is8lb43cj08k@google.com</t>
  </si>
  <si>
    <t>OK 2025-12-01 18:55</t>
  </si>
  <si>
    <t>2025_0048</t>
  </si>
  <si>
    <t>Frederique Verden</t>
  </si>
  <si>
    <t>verden.fred@gmail.com</t>
  </si>
  <si>
    <t>0493 54 56 53</t>
  </si>
  <si>
    <t>Jozef Mertensstraat 140, 1702 Dilbeek</t>
  </si>
  <si>
    <t>d6d118gbchdm1m5qsbfjgs8qlg@google.com</t>
  </si>
  <si>
    <t>Sephora Karmaoui</t>
  </si>
  <si>
    <t>0492 54 28 26</t>
  </si>
  <si>
    <t>m39hf7euq7elo338k851sng218@google.com</t>
  </si>
  <si>
    <t>Juliette Gomis</t>
  </si>
  <si>
    <t>juliette.gomis26@gmail.com</t>
  </si>
  <si>
    <t>0033784727595</t>
  </si>
  <si>
    <t>Gasthuisstraat 57, 8970 Poperinge</t>
  </si>
  <si>
    <t>j6q8gdnrjlfc97l4mu3aic711o@google.com</t>
  </si>
  <si>
    <t>OK 2025-12-01 19:10</t>
  </si>
  <si>
    <t>2025_0016</t>
  </si>
  <si>
    <t>2025_0049</t>
  </si>
  <si>
    <t>Israa AL OUBAYDI</t>
  </si>
  <si>
    <t>isra.aloubaydi@gmail.com</t>
  </si>
  <si>
    <t>0483 26 51 63</t>
  </si>
  <si>
    <t>Broekstraat 77, 1831 Machelen</t>
  </si>
  <si>
    <t>17k7k7fb7qni1mra3cb07qft9g@google.com</t>
  </si>
  <si>
    <t>2025_0046</t>
  </si>
  <si>
    <t>2025_0050</t>
  </si>
  <si>
    <t>Melanie Amichi</t>
  </si>
  <si>
    <t>Defretinmelanie@gmail.com</t>
  </si>
  <si>
    <t>06 020 703 40</t>
  </si>
  <si>
    <t>Domaine de la cendrée, Harnes</t>
  </si>
  <si>
    <t>Decouverte</t>
  </si>
  <si>
    <t>reklrh78v49ma6isa41j25eg44@google.com</t>
  </si>
  <si>
    <t>2025_0052</t>
  </si>
  <si>
    <t>Fracassi Celine</t>
  </si>
  <si>
    <t>Celinefracassi@icloud.com</t>
  </si>
  <si>
    <t>0495 46 63 54</t>
  </si>
  <si>
    <t>Rte de Mons 54, 6560 Erquelinnes</t>
  </si>
  <si>
    <t>u5aa3qd1glcpv29ir1roqf6650@google.com</t>
  </si>
  <si>
    <t>OK 2025-12-01 18:54</t>
  </si>
  <si>
    <t>2025_0053</t>
  </si>
  <si>
    <t>Emma Mabille</t>
  </si>
  <si>
    <t>Emmamabille8@gmail.com</t>
  </si>
  <si>
    <t>0033644373939</t>
  </si>
  <si>
    <t>274 allée des marronniers, 59114 Eecke</t>
  </si>
  <si>
    <t>9s7qloq0eke2ovcjqu00jfqjkg@google.com</t>
  </si>
  <si>
    <t>2025_0014</t>
  </si>
  <si>
    <t>2025_0055</t>
  </si>
  <si>
    <t>Eléni &amp; Charel Schroeder</t>
  </si>
  <si>
    <t>epolissiou@gmail.com</t>
  </si>
  <si>
    <t>0493861149</t>
  </si>
  <si>
    <t>Rue du Village 50 , 5380 Franc-Warêt</t>
  </si>
  <si>
    <t>f9b76qpo5f67sue5d5n8embq1k@google.com</t>
  </si>
  <si>
    <t>2025_0056</t>
  </si>
  <si>
    <t>Sarah Quintaes</t>
  </si>
  <si>
    <t>quintaes@telenet.be</t>
  </si>
  <si>
    <t>0483585806 ou 0492462442</t>
  </si>
  <si>
    <t>paleizenlaan, 3080 Tervuren</t>
  </si>
  <si>
    <t>3484d8prb2al2u74i6s7chg12s@google.com</t>
  </si>
  <si>
    <t>2025_0041</t>
  </si>
  <si>
    <t>2025_0057</t>
  </si>
  <si>
    <t>Karine Mahieu</t>
  </si>
  <si>
    <t>Mahieu.karine@hotmail.com</t>
  </si>
  <si>
    <t>0489 04 15 49</t>
  </si>
  <si>
    <t>Place de cuesmes 10 , 7033 cuesmes</t>
  </si>
  <si>
    <t>dej48kv2pjnbp7jm11vrid9qvo@google.com</t>
  </si>
  <si>
    <t>2025_0018</t>
  </si>
  <si>
    <t>2025_0058</t>
  </si>
  <si>
    <t>Mathieu BYD</t>
  </si>
  <si>
    <t>0472 45 38 83</t>
  </si>
  <si>
    <t>Leuvensesteenweg</t>
  </si>
  <si>
    <t>lpmp5vnf3atdr4qfko8ab70qjk@google.com</t>
  </si>
  <si>
    <t>OK 2025-12-01 18:53</t>
  </si>
  <si>
    <t>2025_0059</t>
  </si>
  <si>
    <t>Restaurant Vincent</t>
  </si>
  <si>
    <t>32491888549</t>
  </si>
  <si>
    <t>Rue des Dominicains, Bruxelles</t>
  </si>
  <si>
    <t>qapqssm5pdj9dkcp3ip3id8hf4@google.com</t>
  </si>
  <si>
    <t>OK 2025-12-01 18:52</t>
  </si>
  <si>
    <t>2025_0062</t>
  </si>
  <si>
    <t>Aurore Labelle</t>
  </si>
  <si>
    <t>labelleaurore13@gmail.com</t>
  </si>
  <si>
    <t>32495698239</t>
  </si>
  <si>
    <t xml:space="preserve">Rue de l'Église, 59740 Hestrud, France </t>
  </si>
  <si>
    <t>7lmjl38sthautk62bfhk781gtc@google.com</t>
  </si>
  <si>
    <t>OK 2025-11-22 13:39</t>
  </si>
  <si>
    <t>Esmeralda Gallo</t>
  </si>
  <si>
    <t>esme1901@hotmail.fr</t>
  </si>
  <si>
    <t>32465884793</t>
  </si>
  <si>
    <t>Salle Petit Versailles, Rue Pont-à-Migneloux 18, 6041 Gosselies</t>
  </si>
  <si>
    <t>drf528ck6rihn3c58b8s4tgb54@google.com</t>
  </si>
  <si>
    <t>OK 2025-11-22 13:37</t>
  </si>
  <si>
    <t>Valerie Depasse</t>
  </si>
  <si>
    <t>valerie_depasse@hotmail.com</t>
  </si>
  <si>
    <t>32474220987</t>
  </si>
  <si>
    <t xml:space="preserve">Fleurus, Rue de la chapelle 72, 6224 Wanfercee-baulet </t>
  </si>
  <si>
    <t>nemneslgbspnemhvl3hmquidk0@google.com</t>
  </si>
  <si>
    <t>2025_0005</t>
  </si>
  <si>
    <t>Aurélie Faudeux</t>
  </si>
  <si>
    <t>faudeudaurelie87@gmail.com</t>
  </si>
  <si>
    <t>32491870045</t>
  </si>
  <si>
    <t xml:space="preserve">Place louis Debrouckère 3, 6200 Châtelineau </t>
  </si>
  <si>
    <t>3ml303s1308fupf8iltv08slf4@google.com</t>
  </si>
  <si>
    <t>2025_0023</t>
  </si>
  <si>
    <t>2025_0054</t>
  </si>
  <si>
    <t>Laura Glorieux</t>
  </si>
  <si>
    <t>laura.glorieux@avocat.be</t>
  </si>
  <si>
    <t>320494 87 15 63</t>
  </si>
  <si>
    <t>Chateau d'avondance Rue des chasseurs 29 ,7100 La Louvière</t>
  </si>
  <si>
    <t>8ku6mjc9gq3j7023nr9celor8g@google.com</t>
  </si>
  <si>
    <t>2025_0040</t>
  </si>
  <si>
    <t>Vanessa Vanvlaenderen</t>
  </si>
  <si>
    <t>Vanessavvldn@gmail.com</t>
  </si>
  <si>
    <t>320471 91 30 77</t>
  </si>
  <si>
    <t>Dilbeek</t>
  </si>
  <si>
    <t>hmjbc3gm1nmak838bnm3uviuug@google.com</t>
  </si>
  <si>
    <t>OK 2025-11-22 13:38</t>
  </si>
  <si>
    <t>Allemeersch Océane</t>
  </si>
  <si>
    <t>oceaneallemeersch@outlook.com</t>
  </si>
  <si>
    <t>320471 79 85 24</t>
  </si>
  <si>
    <t>u6jrtejugh1b90rt481gicqv2s@google.com</t>
  </si>
  <si>
    <t>OK 2025-11-21 21:19</t>
  </si>
  <si>
    <t>Leatitia Finet</t>
  </si>
  <si>
    <t>titafinet@hotmail.com</t>
  </si>
  <si>
    <t>320471 74 41 70</t>
  </si>
  <si>
    <t>Rue du Soir Paisible 2, 4540 Amay</t>
  </si>
  <si>
    <t>0sen6bg9q5i2e8h6ll3e6ccn7s@google.com</t>
  </si>
  <si>
    <t>Vanessa Altruy</t>
  </si>
  <si>
    <t>altruy.vanessa@hotmail.com</t>
  </si>
  <si>
    <t>32488157867</t>
  </si>
  <si>
    <t>Boulevard de la paix 2, Auchel</t>
  </si>
  <si>
    <t>dcr06efnph0crb67ivt3d400r4@google,com</t>
  </si>
  <si>
    <t>q3f8e829u70b0q296v1hhm3bls@google.com</t>
  </si>
  <si>
    <t>OK 2025-12-01 18:46</t>
  </si>
  <si>
    <t>2025_0077</t>
  </si>
  <si>
    <t>Stéphanie Ferrara</t>
  </si>
  <si>
    <t>kevinmoraux@hotmail.com</t>
  </si>
  <si>
    <t>32477938698</t>
  </si>
  <si>
    <t>NL</t>
  </si>
  <si>
    <t>Koeweideblock 4, 1485 Merchtem</t>
  </si>
  <si>
    <t>hm3dr8h985lnn0ojbeja21h16o@google.com</t>
  </si>
  <si>
    <t>2025_0051</t>
  </si>
  <si>
    <t>Maria &amp; Walter</t>
  </si>
  <si>
    <t>nettodelmonte@hotmail.com</t>
  </si>
  <si>
    <t>32476360841</t>
  </si>
  <si>
    <t>Perksesteenweg 37, 1820 Melsbroek</t>
  </si>
  <si>
    <t>Mouad</t>
  </si>
  <si>
    <t>uj423ig8dqjuobtr4j2rj0i384@google.com</t>
  </si>
  <si>
    <t>Reminder Sent</t>
  </si>
  <si>
    <t>2025_0069</t>
  </si>
  <si>
    <t>2026_0001</t>
  </si>
  <si>
    <t>Catherine</t>
  </si>
  <si>
    <t>catherinedutron0506@gmail.com</t>
  </si>
  <si>
    <t>32468362964</t>
  </si>
  <si>
    <t>Rue Emile Vandervelde 275, 6534 Thuin</t>
  </si>
  <si>
    <t>04libqmp5897givrr0ud0ciadc@google.com</t>
  </si>
  <si>
    <t>2025_0012</t>
  </si>
  <si>
    <t>2025_0092</t>
  </si>
  <si>
    <t>Eline Le Dieu</t>
  </si>
  <si>
    <t>eline.ledieu@hotmail.be</t>
  </si>
  <si>
    <t>32489438210</t>
  </si>
  <si>
    <t>Salle Praesenti à Saintes - Rue de tubize 1, 1480</t>
  </si>
  <si>
    <t>ku6fu7r6mm9hsbm56r4nkg5a68@google.com</t>
  </si>
  <si>
    <t>2025_0006</t>
  </si>
  <si>
    <t>2025_0081</t>
  </si>
  <si>
    <t>Aljbek Sheripov</t>
  </si>
  <si>
    <t>r783@hotmail.com</t>
  </si>
  <si>
    <t>32496393928</t>
  </si>
  <si>
    <t>Rue du village 50, 5380 Franc-Waret</t>
  </si>
  <si>
    <t>e9h5ebuvuks5t0cct63mr66oao@google.com</t>
  </si>
  <si>
    <t>2025_0028</t>
  </si>
  <si>
    <t>2025_0082</t>
  </si>
  <si>
    <t>Ahmed Secteur7</t>
  </si>
  <si>
    <t>33635172271</t>
  </si>
  <si>
    <t>La bourse Bruxelles</t>
  </si>
  <si>
    <t>4t6kcss884f03uce4h5v3na5vg@google.com</t>
  </si>
  <si>
    <t>OK 2025-12-01 18:48</t>
  </si>
  <si>
    <t>2025_0072</t>
  </si>
  <si>
    <t>Happe Holyanna</t>
  </si>
  <si>
    <t>holyanna.happe2@gmail.com</t>
  </si>
  <si>
    <t>33661542072</t>
  </si>
  <si>
    <t>Pl, de bourgogne 1, 7730 Estaimpuis</t>
  </si>
  <si>
    <t>3t62aq4spgh7cda1c99fbba9fk@google.com</t>
  </si>
  <si>
    <t>2025_0019</t>
  </si>
  <si>
    <t>2025_0063</t>
  </si>
  <si>
    <t>Virginie Fred Perona</t>
  </si>
  <si>
    <t>peronavirgi@hotmail.com</t>
  </si>
  <si>
    <t>32498468057</t>
  </si>
  <si>
    <t>Rue Jules Empain 20, 7170 Manage</t>
  </si>
  <si>
    <t>Anniversaire</t>
  </si>
  <si>
    <t>2utu0j721jih61poeqaml13l0c@google.com</t>
  </si>
  <si>
    <t>OK 2026-01-09 19:45</t>
  </si>
  <si>
    <t>2025_0061</t>
  </si>
  <si>
    <t>2026_0004</t>
  </si>
  <si>
    <t>Mohamed</t>
  </si>
  <si>
    <t>boghabamomo@gmail.com</t>
  </si>
  <si>
    <t>32486609221</t>
  </si>
  <si>
    <t>Bruxelles</t>
  </si>
  <si>
    <t>2v2d8lefl71n8scfnk5v6975os@google.com</t>
  </si>
  <si>
    <t>OK 2025-12-01 18:45</t>
  </si>
  <si>
    <t>2025_0083</t>
  </si>
  <si>
    <t>2025_0084</t>
  </si>
  <si>
    <t>Ludovic</t>
  </si>
  <si>
    <t>hanlud@hotmail.com</t>
  </si>
  <si>
    <t>32477834109</t>
  </si>
  <si>
    <t>6534 Thuin</t>
  </si>
  <si>
    <t>7vrlh5c1t3s4ec293bqscadvrc@google.com</t>
  </si>
  <si>
    <t>OK 2025-12-01 18:51</t>
  </si>
  <si>
    <t>2025_0064</t>
  </si>
  <si>
    <t>2025_0080</t>
  </si>
  <si>
    <t>Marie-Charlotte</t>
  </si>
  <si>
    <t>m0243243c.112m@gmail.com</t>
  </si>
  <si>
    <t>32455103223</t>
  </si>
  <si>
    <t>Namur</t>
  </si>
  <si>
    <t>gtnnob709nb06ejai97kioei08@google.com</t>
  </si>
  <si>
    <t>OK 2025-12-01 18:49</t>
  </si>
  <si>
    <t>2025_0070</t>
  </si>
  <si>
    <t>Elodie</t>
  </si>
  <si>
    <t>collet-elodie@hotmail.com</t>
  </si>
  <si>
    <t>32479743507</t>
  </si>
  <si>
    <t>coq boulevard du coq n 44 la Louvière 7100</t>
  </si>
  <si>
    <t>bdv8q2kbu97n112esi660254f4@google.com</t>
  </si>
  <si>
    <t>2025_0060</t>
  </si>
  <si>
    <t>Marine</t>
  </si>
  <si>
    <t>gvn.marine@gmail.com</t>
  </si>
  <si>
    <t>33647588181</t>
  </si>
  <si>
    <t>Arras</t>
  </si>
  <si>
    <t>nube6qeu7mkkt1d1qccfa3j7js@google.com</t>
  </si>
  <si>
    <t>OK 2025-12-01 18:50</t>
  </si>
  <si>
    <t>2025_0066</t>
  </si>
  <si>
    <t>Rani</t>
  </si>
  <si>
    <t>rani_diependaele@hotmail.com</t>
  </si>
  <si>
    <t>32497656334</t>
  </si>
  <si>
    <t>Ophasselt</t>
  </si>
  <si>
    <t>mcjh2l6f9plsmrt68rr8q9ggjs@google.com</t>
  </si>
  <si>
    <t>OK 2025-12-01 18:47</t>
  </si>
  <si>
    <t>2025_0073</t>
  </si>
  <si>
    <t>Matilde Gravano</t>
  </si>
  <si>
    <t>matilde.gravano@gmail.com</t>
  </si>
  <si>
    <t>32477816691</t>
  </si>
  <si>
    <t>Beaurieux court saint etienne Belgique</t>
  </si>
  <si>
    <t>q6vlmgvhkrk2gpak5mmuvdvflg@google.com</t>
  </si>
  <si>
    <t>OK 2025-12-01 18:43</t>
  </si>
  <si>
    <t>2025_0087</t>
  </si>
  <si>
    <t>Salma Feraaouni</t>
  </si>
  <si>
    <t>salma.feraaouni@hotmail.com</t>
  </si>
  <si>
    <t>32491118984</t>
  </si>
  <si>
    <t>Saint-Vaast, 7100 La Louvière</t>
  </si>
  <si>
    <t>eo6mulcdtnal9f8hfvid322mfo@google.com</t>
  </si>
  <si>
    <t>2025_0067</t>
  </si>
  <si>
    <t>Jihane Najem</t>
  </si>
  <si>
    <t>jihane.njm@gmail.com</t>
  </si>
  <si>
    <t>32494325456</t>
  </si>
  <si>
    <t>pd64uv86lbgkis2imgssjpqjoo@google.com</t>
  </si>
  <si>
    <t>2025_0065</t>
  </si>
  <si>
    <t>Raphaelle Nino</t>
  </si>
  <si>
    <t>raphthib@hotmail.com</t>
  </si>
  <si>
    <t>32483412150</t>
  </si>
  <si>
    <t>Jurbise</t>
  </si>
  <si>
    <t>h7lguo445nvnlereinct5dedls@google.com</t>
  </si>
  <si>
    <t>2025_0074</t>
  </si>
  <si>
    <t>Dorine Shops</t>
  </si>
  <si>
    <t>dorine.shops@icloud.com</t>
  </si>
  <si>
    <t>Flaumont Waubrechie</t>
  </si>
  <si>
    <t>4kjm76rp1p9o4u8d78a250f6qc@google.com</t>
  </si>
  <si>
    <t>2025_0079</t>
  </si>
  <si>
    <t>Tifany SINNAEVE</t>
  </si>
  <si>
    <t>tifa_360@hotmail.com</t>
  </si>
  <si>
    <t>Courcelles</t>
  </si>
  <si>
    <t>1ipg47249bribmdbqek13icj0o@google.com</t>
  </si>
  <si>
    <t>OK 2025-12-24 13:59</t>
  </si>
  <si>
    <t>2025_0075</t>
  </si>
  <si>
    <t>Sophie Willems</t>
  </si>
  <si>
    <t>sophiewillems20@gmail.com</t>
  </si>
  <si>
    <t>32479956405</t>
  </si>
  <si>
    <t>Battice</t>
  </si>
  <si>
    <t>vcou1mlq6qfdohobrdgeuckfhk@google.com</t>
  </si>
  <si>
    <t>2025_0078</t>
  </si>
  <si>
    <t>Mandelier Cathy</t>
  </si>
  <si>
    <t>cathy.manderlier@brucity.education</t>
  </si>
  <si>
    <t>hnm6n0ks0vp8fueknspgr5r04g@google.com</t>
  </si>
  <si>
    <t>OK 2025-12-01 18:36</t>
  </si>
  <si>
    <t>2025_0101</t>
  </si>
  <si>
    <t>Fathy Vercamer</t>
  </si>
  <si>
    <t>fathy.vercamer@hilton.com</t>
  </si>
  <si>
    <t>Carrefour de l’europe 3, 1000 bruxelles</t>
  </si>
  <si>
    <t>evr52db53s1ikk83a1n24vjjhc@google.com</t>
  </si>
  <si>
    <t>OK 2025-12-01 19:35</t>
  </si>
  <si>
    <t>2025_0071</t>
  </si>
  <si>
    <t>Gioeli Pina</t>
  </si>
  <si>
    <t>gioeli.demaret@gmail.com</t>
  </si>
  <si>
    <t>vd15u73hjak1upa93o96tm6ni4@google.com</t>
  </si>
  <si>
    <t>2025_0068</t>
  </si>
  <si>
    <t>Cindy Vandenrewegs</t>
  </si>
  <si>
    <t>cindyasmine212@gmail.com</t>
  </si>
  <si>
    <t>32465650382</t>
  </si>
  <si>
    <t>Flemalle</t>
  </si>
  <si>
    <t>sfjq9j6bjbmkbun16r0jtoajl0@google.com</t>
  </si>
  <si>
    <t>2025_0076</t>
  </si>
  <si>
    <t>Marie Wathelet</t>
  </si>
  <si>
    <t>marie.wathelet.mw@gmail.com</t>
  </si>
  <si>
    <t>32471905609</t>
  </si>
  <si>
    <t>Floreffe</t>
  </si>
  <si>
    <t>Maxime</t>
  </si>
  <si>
    <t>ppm1hnecis9m5k7sqeorqas2ks@google.com</t>
  </si>
  <si>
    <t>OK 2025-12-01 18:39</t>
  </si>
  <si>
    <t>2025_0093</t>
  </si>
  <si>
    <t>Emma Valis</t>
  </si>
  <si>
    <t>emmavalis2105@gmail.com</t>
  </si>
  <si>
    <t>32478515095</t>
  </si>
  <si>
    <t>Anderlecht</t>
  </si>
  <si>
    <t>p661f0fgl5qv4piu0ghh5tlfe4@google.com</t>
  </si>
  <si>
    <t>OK 2025-12-02 22:06</t>
  </si>
  <si>
    <t>Link Missing</t>
  </si>
  <si>
    <t>2025_0091</t>
  </si>
  <si>
    <t>2025_0133</t>
  </si>
  <si>
    <t>Amandine Begon</t>
  </si>
  <si>
    <t>loic-begon557@outlook.com</t>
  </si>
  <si>
    <t>32494337758</t>
  </si>
  <si>
    <t>Thon-Samson</t>
  </si>
  <si>
    <t>kncb1df8bge4tncu4r0vgfd7c0@google.com</t>
  </si>
  <si>
    <t>2025_0086</t>
  </si>
  <si>
    <t>2025_0111</t>
  </si>
  <si>
    <t>Morgane Lefebvre</t>
  </si>
  <si>
    <t>morgane.lefebvre.lhoir1474@gmail.com</t>
  </si>
  <si>
    <t>32456791801</t>
  </si>
  <si>
    <t>Nieuwpoort</t>
  </si>
  <si>
    <t>vmupqc92o0ssrb6t1in3ju6a2o@google.com</t>
  </si>
  <si>
    <t>OK 2025-12-01 18:40</t>
  </si>
  <si>
    <t>2025_0089</t>
  </si>
  <si>
    <t>Sarah Ben Ali</t>
  </si>
  <si>
    <t>info@okadarchitects.com</t>
  </si>
  <si>
    <t>32483359730</t>
  </si>
  <si>
    <t>Château de Ruisbroek, Karel Gilonstraat 15, 1601 Sint-Pieters-Leeuw</t>
  </si>
  <si>
    <t>lod0k5oh5tpve5rcc2iiii9i10@google.com</t>
  </si>
  <si>
    <t>OK 2025-12-01 18:37</t>
  </si>
  <si>
    <t>2025_0098</t>
  </si>
  <si>
    <t>2025_0099</t>
  </si>
  <si>
    <t>Myriam Basisua</t>
  </si>
  <si>
    <t>myriambsa90@gmail.com</t>
  </si>
  <si>
    <t>32471011315</t>
  </si>
  <si>
    <t>kpjjq0vbcnb57t4dqd53vb2k34@google.com</t>
  </si>
  <si>
    <t>OK 2025-12-01 19:29</t>
  </si>
  <si>
    <t>2025_0090</t>
  </si>
  <si>
    <t>2025_0120</t>
  </si>
  <si>
    <t>Manon Tshikuna</t>
  </si>
  <si>
    <t>manontsk@hotmail.com</t>
  </si>
  <si>
    <t>32492048709</t>
  </si>
  <si>
    <t>Perwez</t>
  </si>
  <si>
    <t>h83vpfm0cupei42v97tr17to6g@google.com</t>
  </si>
  <si>
    <t>2025_0097</t>
  </si>
  <si>
    <t>2025-0106</t>
  </si>
  <si>
    <t>Nisrine Eslama</t>
  </si>
  <si>
    <t>niniisrine18@gmail.com</t>
  </si>
  <si>
    <t>32467775714</t>
  </si>
  <si>
    <t>Halle</t>
  </si>
  <si>
    <t>Bapteme</t>
  </si>
  <si>
    <t>ldi7uui9bcuvdtivbpqkn4uqsk@google.com</t>
  </si>
  <si>
    <t>OK 2025-12-01 19:28</t>
  </si>
  <si>
    <t>2025_0088</t>
  </si>
  <si>
    <t>2025_0112</t>
  </si>
  <si>
    <t>Adeline Dubois</t>
  </si>
  <si>
    <t>adelinedubois@live.fr</t>
  </si>
  <si>
    <t>32496259513</t>
  </si>
  <si>
    <t>Audregnies</t>
  </si>
  <si>
    <t>6nql5e162sndug040rdi0niea8@google.com</t>
  </si>
  <si>
    <t>OK 2025-12-01 18:38</t>
  </si>
  <si>
    <t>2025_0096</t>
  </si>
  <si>
    <t>2025_0127</t>
  </si>
  <si>
    <t>Tracy Bouchain</t>
  </si>
  <si>
    <t>tracylmpr190693@gmail.com</t>
  </si>
  <si>
    <t>32471522461</t>
  </si>
  <si>
    <t>Angre</t>
  </si>
  <si>
    <t>843qe4frmp2dh2j4d3rq2ah2rk@google.com</t>
  </si>
  <si>
    <t>OK 2025-12-01 18:44</t>
  </si>
  <si>
    <t>2025_0085</t>
  </si>
  <si>
    <t>Sylvin Kalala</t>
  </si>
  <si>
    <t>sylvin.ks@hotmail.com</t>
  </si>
  <si>
    <t>32485523059</t>
  </si>
  <si>
    <t>Ophain</t>
  </si>
  <si>
    <t>jonm7dng0eam90ivr7cms56034@google.com</t>
  </si>
  <si>
    <t>2025_0095</t>
  </si>
  <si>
    <t>Mariya Nkolo</t>
  </si>
  <si>
    <t>nkolomariya7@gmail.com</t>
  </si>
  <si>
    <t>33751260062</t>
  </si>
  <si>
    <t>Les jardins du vert bois à bondues - Tourcoing</t>
  </si>
  <si>
    <t>7thc4jdvoegivngi346q8hbk2g@google.com</t>
  </si>
  <si>
    <t>OK 2025-12-01 18:35</t>
  </si>
  <si>
    <t>2025_0102</t>
  </si>
  <si>
    <t>Clémence Munier</t>
  </si>
  <si>
    <t>munier.clemence@outlook.com</t>
  </si>
  <si>
    <t>Espace Aimé Césaire - 19 Bd de Metz, 54350 Mont-Saint-Martin</t>
  </si>
  <si>
    <t>8qv4463tn3nuqh9t1etjcsue0k@google.com</t>
  </si>
  <si>
    <t>2025_0094</t>
  </si>
  <si>
    <t>Audrey Duvinage</t>
  </si>
  <si>
    <t>audrey.duvinage@hotmail.com</t>
  </si>
  <si>
    <t>32484918399</t>
  </si>
  <si>
    <t>Estaimbourg</t>
  </si>
  <si>
    <t>roc5b3bn31b96n1fe1jtv24ss4@google.com</t>
  </si>
  <si>
    <t>2025_0100</t>
  </si>
  <si>
    <t>Audrey Mallié</t>
  </si>
  <si>
    <t>audreymallie99@gmail.com</t>
  </si>
  <si>
    <t>32493624265</t>
  </si>
  <si>
    <t>Marcinelle</t>
  </si>
  <si>
    <t>5ooggpftrahmk7lfi08nripd00@google.com</t>
  </si>
  <si>
    <t>2025_0108</t>
  </si>
  <si>
    <t>Nassira Bakkouche</t>
  </si>
  <si>
    <t>nassirabakkouche123@hotmail.com</t>
  </si>
  <si>
    <t>32470369387</t>
  </si>
  <si>
    <t>Rue du Louvy 11, 6060 Charleroi, Belgique</t>
  </si>
  <si>
    <t>https://fotoshare.co/e/uiL9GDehG8dbEVR4Sdu7h</t>
  </si>
  <si>
    <t>aock9rssohl2op0qul4k7s89cc@google.com</t>
  </si>
  <si>
    <t>OK 2025-12-20 12:35</t>
  </si>
  <si>
    <t>2025_0104</t>
  </si>
  <si>
    <t>2025_0137</t>
  </si>
  <si>
    <t>JustineDecarnoncle</t>
  </si>
  <si>
    <t>j.decarnoncle@gmail.com</t>
  </si>
  <si>
    <t>32472853159</t>
  </si>
  <si>
    <t>Kain, Tournai</t>
  </si>
  <si>
    <t>4vls0nuguve4iht5mi1pp56b2g@google.com</t>
  </si>
  <si>
    <t>OK 2025-12-01 18:34</t>
  </si>
  <si>
    <t>2025_0105</t>
  </si>
  <si>
    <t>Andreana Lyphout</t>
  </si>
  <si>
    <t>andreana.lyphout@outlook.fr</t>
  </si>
  <si>
    <t>33771219222</t>
  </si>
  <si>
    <t>Hordain</t>
  </si>
  <si>
    <t>3lsbigdre0dfff6vbm0fnpqdeo@google.com</t>
  </si>
  <si>
    <t>2025_0110</t>
  </si>
  <si>
    <t>Audrey Hombert</t>
  </si>
  <si>
    <t>audrey_hombert@msn.com</t>
  </si>
  <si>
    <t>32477077065</t>
  </si>
  <si>
    <t>Quevaucamps</t>
  </si>
  <si>
    <t>1ubp95doge4kkev4avras1plh4@google.com</t>
  </si>
  <si>
    <t>2025_0107</t>
  </si>
  <si>
    <t>2025_0121</t>
  </si>
  <si>
    <t>Cynthia Blondeau</t>
  </si>
  <si>
    <t>cynthia.blondeau@hotmail.com</t>
  </si>
  <si>
    <t>33682439908</t>
  </si>
  <si>
    <t>Bry, France</t>
  </si>
  <si>
    <t>b3slqpeb7tk4jl3thg6ponfje8@google.com</t>
  </si>
  <si>
    <t>2025_0109</t>
  </si>
  <si>
    <t>Samia Hamdani</t>
  </si>
  <si>
    <t>samiasam.cha@gmail.com</t>
  </si>
  <si>
    <t>33610598211</t>
  </si>
  <si>
    <t>Anvers</t>
  </si>
  <si>
    <t>k187662q2a8c1t4kra08l69alg@google.com</t>
  </si>
  <si>
    <t>OK 2025-11-22 13:43</t>
  </si>
  <si>
    <t>2025_0113</t>
  </si>
  <si>
    <t>KellyHennen</t>
  </si>
  <si>
    <t>kelly_hennen@hotmail.com</t>
  </si>
  <si>
    <t>32470520195</t>
  </si>
  <si>
    <t>Sart lez Spa</t>
  </si>
  <si>
    <t>f9gofa8l3ldtrq9ng2h7c3klrg@google.com</t>
  </si>
  <si>
    <t>2025_0103</t>
  </si>
  <si>
    <t>Sylvie Tireau Yada</t>
  </si>
  <si>
    <t>slvyada@gmail.com</t>
  </si>
  <si>
    <t>33634194202</t>
  </si>
  <si>
    <t>Cappelle-en-Pévèle</t>
  </si>
  <si>
    <t>k7s6j2hqoelojs9il5jk3a8uk4@google.com</t>
  </si>
  <si>
    <t>2025_0114</t>
  </si>
  <si>
    <t>Linda Scifo</t>
  </si>
  <si>
    <t>lindascifo@live.com</t>
  </si>
  <si>
    <t>32498970991</t>
  </si>
  <si>
    <t>Fayt-lez-Manage</t>
  </si>
  <si>
    <t>1he9af1s0m0giupgcudb3njbss@google.com</t>
  </si>
  <si>
    <t>OK 2025-11-22 22:05</t>
  </si>
  <si>
    <t>2025_0115</t>
  </si>
  <si>
    <t>Stephanie Smagghue</t>
  </si>
  <si>
    <t>stephanie.smagghue@gmail.com</t>
  </si>
  <si>
    <t>33611551421</t>
  </si>
  <si>
    <t>Ferme Blanche, 9 Rue Pasteur, 59840 Lompret</t>
  </si>
  <si>
    <t>tsatbooqa4ovg5hogs7hg5bb70@google.com</t>
  </si>
  <si>
    <t>2025_0116</t>
  </si>
  <si>
    <t>Manuel Oudar</t>
  </si>
  <si>
    <t>manuellamessa09@gmail.com</t>
  </si>
  <si>
    <t>32478699669</t>
  </si>
  <si>
    <t>Ransart, 6043 Charleroi</t>
  </si>
  <si>
    <t>Nizar</t>
  </si>
  <si>
    <t>rfap9o5uqrir9eucfhnkagc9fo@google.com</t>
  </si>
  <si>
    <t>OK 2025-11-22 22:06</t>
  </si>
  <si>
    <t>2025_0117</t>
  </si>
  <si>
    <t>9u36b2s42qn06mibodpp3hh1b8@google.com</t>
  </si>
  <si>
    <t>OK 2025-12-02 18:09</t>
  </si>
  <si>
    <t>2025_0134</t>
  </si>
  <si>
    <t>5 Rue de l'Église, 59144 Bry, France</t>
  </si>
  <si>
    <t>sd4o3nsc3d270hro92tu82d6pk@google.com</t>
  </si>
  <si>
    <t>OK 2025-12-09 22:11</t>
  </si>
  <si>
    <t>https://fotoshare.co/e/Wkvsrsgg_t5m1ac3fbSWd</t>
  </si>
  <si>
    <t>9dr82jc7f78gkhpd5kdj409d4s@google.com</t>
  </si>
  <si>
    <t>2025_0142</t>
  </si>
  <si>
    <t>Laetitia Attar</t>
  </si>
  <si>
    <t>laetitia120884@outlook.com</t>
  </si>
  <si>
    <t>32478629775</t>
  </si>
  <si>
    <t>Somme leuze</t>
  </si>
  <si>
    <t>Anniversaire 40 ans</t>
  </si>
  <si>
    <t>adaoo1ba7kq6j8lv02klf66k10@google.com</t>
  </si>
  <si>
    <t>2025_0118</t>
  </si>
  <si>
    <t>2026_0005</t>
  </si>
  <si>
    <t>Virginie Dumalin</t>
  </si>
  <si>
    <t>dumalinvirginie230673@gmail.com</t>
  </si>
  <si>
    <t>32479629474</t>
  </si>
  <si>
    <t>Domaine de la naverie a herinne</t>
  </si>
  <si>
    <t>mlue6tq3jqmfoahsk1ftnrfhj8@google.com</t>
  </si>
  <si>
    <t>2025_0119</t>
  </si>
  <si>
    <t>Fadila Amhil</t>
  </si>
  <si>
    <t>fadilaamhil@gmail.com</t>
  </si>
  <si>
    <t>salle Atrium Dunkerque</t>
  </si>
  <si>
    <t>g4nc7suru7nln2ln2ntnms88eo@google.com</t>
  </si>
  <si>
    <t>2025_0122</t>
  </si>
  <si>
    <t>Alexandra Olivier</t>
  </si>
  <si>
    <t>xx_al3xandra_xx@hotmail.com</t>
  </si>
  <si>
    <t>32497669737</t>
  </si>
  <si>
    <t>Château Wanfercee Baulet</t>
  </si>
  <si>
    <t>av33cgmhtg813aknlsjcfcjuhk@google.com</t>
  </si>
  <si>
    <t>2025_0123</t>
  </si>
  <si>
    <t>Myriam Moalla</t>
  </si>
  <si>
    <t>myriammoalla@live.fr</t>
  </si>
  <si>
    <t>33669705136</t>
  </si>
  <si>
    <t>Royal Hainaut Spa &amp; Resort Hotel
6 Pl, de l'Hôpital Général, 59300 Valenciennes, France</t>
  </si>
  <si>
    <t>ssgvn7oqlc3hc93kbo606npri8@google.com</t>
  </si>
  <si>
    <t>OK 2025-12-09 17:28</t>
  </si>
  <si>
    <t>2025_0124</t>
  </si>
  <si>
    <t>2025_0147</t>
  </si>
  <si>
    <t>Alexandra Hoogstoel</t>
  </si>
  <si>
    <t>alexandra_spes@msn.com</t>
  </si>
  <si>
    <t>32494816738</t>
  </si>
  <si>
    <t>Destelbergen</t>
  </si>
  <si>
    <t>Marriage</t>
  </si>
  <si>
    <t>402vudh4sh6qifu0olq2kn3mns@google.com</t>
  </si>
  <si>
    <t>OK 2025-11-22 13:44</t>
  </si>
  <si>
    <t>2025_0125</t>
  </si>
  <si>
    <t>Megan Thiry</t>
  </si>
  <si>
    <t>megan.thiry3kantoor@hotmail.com</t>
  </si>
  <si>
    <t>32476047562</t>
  </si>
  <si>
    <t>Domaine du quai - rue de la déportation 216, Tubize 1480</t>
  </si>
  <si>
    <t>hjko9hgniulje44d3ddt1helpo@google.com</t>
  </si>
  <si>
    <t>2025_0126</t>
  </si>
  <si>
    <t>Tristan De la Fuente</t>
  </si>
  <si>
    <t>tristan-dlf@live.be</t>
  </si>
  <si>
    <t>Beiaardlaan 31, 1850 Grimbergen</t>
  </si>
  <si>
    <t>16jl0j37k34v5umdis6ae2rtd8@google.com</t>
  </si>
  <si>
    <t>OK 2025-11-22 22:07</t>
  </si>
  <si>
    <t>2025_0128</t>
  </si>
  <si>
    <t>Ludivine Van lancker</t>
  </si>
  <si>
    <t>ludoophe@hotmail.com</t>
  </si>
  <si>
    <t>32498016467</t>
  </si>
  <si>
    <t>Charleroi</t>
  </si>
  <si>
    <t>afouvslk0jort913ldj4ijpcgs@google.com</t>
  </si>
  <si>
    <t>2025_0129</t>
  </si>
  <si>
    <t>Aylin Ay</t>
  </si>
  <si>
    <t>aylin0103@hotmail.be</t>
  </si>
  <si>
    <t>32499200067</t>
  </si>
  <si>
    <t>njel197lajfv5j92gr8ek9g2r8@google.com</t>
  </si>
  <si>
    <t>2025_0130</t>
  </si>
  <si>
    <t>Larissa Plas</t>
  </si>
  <si>
    <t>larissa.plas@gmail.com</t>
  </si>
  <si>
    <t>Rue des Waides 80, 4000 Liège</t>
  </si>
  <si>
    <t>cn3f13ad0k5vfufuj6a4bmsld4@google.com</t>
  </si>
  <si>
    <t>OK 2025-11-29 18:11</t>
  </si>
  <si>
    <t>2025_0131</t>
  </si>
  <si>
    <t>Audrey  Chopineaux</t>
  </si>
  <si>
    <t>chopineauxaudrey59@yahoo.fr</t>
  </si>
  <si>
    <t xml:space="preserve">Mouscron </t>
  </si>
  <si>
    <t>kjsdgtb0brbi9hlu04bljnoi38@google.com</t>
  </si>
  <si>
    <t>OK 2025-12-09 21:38</t>
  </si>
  <si>
    <t>2025_0138</t>
  </si>
  <si>
    <t>FaustineMonpays</t>
  </si>
  <si>
    <t>faustinemonpays@gmail.com</t>
  </si>
  <si>
    <t>Brugelette</t>
  </si>
  <si>
    <t>sa8pff9sharemn40lckj1p056c@google.com</t>
  </si>
  <si>
    <t>2025_0132</t>
  </si>
  <si>
    <t>Yelyzaveta Klok</t>
  </si>
  <si>
    <t>klokyelyzaveta@gmail.com</t>
  </si>
  <si>
    <t>Eghezee</t>
  </si>
  <si>
    <t>f06jo3f44a2h07htkj4thctug8@google.com</t>
  </si>
  <si>
    <t>2025_0135</t>
  </si>
  <si>
    <t>Alain Picard</t>
  </si>
  <si>
    <t>alainpicard2@orange.fr</t>
  </si>
  <si>
    <t>Bois-Grenier</t>
  </si>
  <si>
    <t>jtb3qoaqn47r210q6bccthv05o@google.com</t>
  </si>
  <si>
    <t>OK 2025-12-09 21:41</t>
  </si>
  <si>
    <t>2025_0136</t>
  </si>
  <si>
    <t>Veronique Mertens</t>
  </si>
  <si>
    <t>veroniquemertens107@gmail.com</t>
  </si>
  <si>
    <t>Haut ittre</t>
  </si>
  <si>
    <t>stlvgadrapgpag3k03qp4j1r8s@google.com</t>
  </si>
  <si>
    <t>2025_0139</t>
  </si>
  <si>
    <t>Audrey Boulet</t>
  </si>
  <si>
    <t>aude1201@hotmail.com</t>
  </si>
  <si>
    <t>Rue Aublaine, n2 à 6560 Solre-sur-Sambre</t>
  </si>
  <si>
    <t>0fn09vtj1j4fkfnalt2jo6d90s@google.com</t>
  </si>
  <si>
    <t>OK 2025-12-09 21:40</t>
  </si>
  <si>
    <t>2025_0140</t>
  </si>
  <si>
    <t>2025_0143</t>
  </si>
  <si>
    <t>Fabian BeNoit</t>
  </si>
  <si>
    <t>fabian.benoit@hotmail.com</t>
  </si>
  <si>
    <t>Genappe</t>
  </si>
  <si>
    <t>sm80grgfcuggcta0em5nlg00os@google.com</t>
  </si>
  <si>
    <t>2025_0141</t>
  </si>
  <si>
    <t>sephorakrm@hotmail.com</t>
  </si>
  <si>
    <t xml:space="preserve">16 Rue theys, 6041 Charleroi </t>
  </si>
  <si>
    <t>BABY shower</t>
  </si>
  <si>
    <t>https://fotoshare.co/e/O3ZA3uF1tgwgBspfnpdar</t>
  </si>
  <si>
    <t>umjqi9nuk5p7sobh4ih0lpu2c8@google.com</t>
  </si>
  <si>
    <t>OK 2025-12-20 12:34</t>
  </si>
  <si>
    <t>Tarik Hanjaly</t>
  </si>
  <si>
    <t>hanjalyrabab@hotmail.com</t>
  </si>
  <si>
    <t>f52tlshbqfje07bmodejfdt4jo@google.com</t>
  </si>
  <si>
    <t>OK 2025-12-17 19:12</t>
  </si>
  <si>
    <t>Anaelle Winssinger</t>
  </si>
  <si>
    <t>anni_winssinger_333@hotmail.com</t>
  </si>
  <si>
    <t>Ternat, salle Hof te Vitseroel</t>
  </si>
  <si>
    <t>l73e9hh8i80spjshsa9m88l00c@google.com</t>
  </si>
  <si>
    <t>OK 2025-12-20 12:52</t>
  </si>
  <si>
    <t>2025_0145</t>
  </si>
  <si>
    <t>Aurelie  Wallaeys</t>
  </si>
  <si>
    <t>aureliewallaeys23@gmail.com</t>
  </si>
  <si>
    <t>Tournai, Pecq</t>
  </si>
  <si>
    <t>t6nrsdm39i9ju20r3hc7p6j7ck@google.com</t>
  </si>
  <si>
    <t>2025_0146</t>
  </si>
  <si>
    <t>ACSM CS La fraternité</t>
  </si>
  <si>
    <t>salima.ahoudig@ville-maubeuge.fr</t>
  </si>
  <si>
    <t>03.27.65.98.38 ; 06.72.60.81.85</t>
  </si>
  <si>
    <t>Foyer des vétérans place de l'industrie 59600 Maubeuge</t>
  </si>
  <si>
    <t>nhvf1dvb0ut5vip1mprcbbp490@google.com</t>
  </si>
  <si>
    <t>OK 2025-12-20 13:02</t>
  </si>
  <si>
    <t>2025_0149</t>
  </si>
  <si>
    <t>Elisabeth  Henrion</t>
  </si>
  <si>
    <t>elisabethhenrion@hotmail.com</t>
  </si>
  <si>
    <t>Court saint etienne</t>
  </si>
  <si>
    <t>t451ju9536so02mphl4l6dna5o@google.com</t>
  </si>
  <si>
    <t>OK 2025-12-20 21:04</t>
  </si>
  <si>
    <t>2025_0148</t>
  </si>
  <si>
    <t>Sidonie Dussart</t>
  </si>
  <si>
    <t>sidonie.dussart@icloud.com</t>
  </si>
  <si>
    <t>Escautpont</t>
  </si>
  <si>
    <t>6ilgbreqmkc6vhnftao8uhkv9o@google.com</t>
  </si>
  <si>
    <t>OK 2025-12-24 14:01</t>
  </si>
  <si>
    <t>2025_0150</t>
  </si>
  <si>
    <t>Bénie Nkasia</t>
  </si>
  <si>
    <t>bennienkasia@hotmail.com</t>
  </si>
  <si>
    <t>Assiyaa</t>
  </si>
  <si>
    <t>q108b8irl63p8hh4tag3am4edk@google.com</t>
  </si>
  <si>
    <t>OK 2025-12-30 12:55</t>
  </si>
  <si>
    <t>2025_0151</t>
  </si>
  <si>
    <t>Sandy Goflette</t>
  </si>
  <si>
    <t>sandy.goflette@hotmail.com</t>
  </si>
  <si>
    <t xml:space="preserve">Meslin l’évêque </t>
  </si>
  <si>
    <t>5mokba4b7cnrjbh2jrq3ss65a0@google.com</t>
  </si>
  <si>
    <t>OK 2026-01-05 08:57</t>
  </si>
  <si>
    <t>2025_0152</t>
  </si>
  <si>
    <t>Nadia Moukhliss</t>
  </si>
  <si>
    <t>fenna_baby@hotmail.com</t>
  </si>
  <si>
    <t>2sqajq577f5r6u6kkcsj651q2s@google.com</t>
  </si>
  <si>
    <t>OK 2026-01-05 10:41</t>
  </si>
  <si>
    <t>2026_0003</t>
  </si>
  <si>
    <t>Laure Mahieu</t>
  </si>
  <si>
    <t>laure.mahieu@optinet.be</t>
  </si>
  <si>
    <t>Woluwe-Saint-Pierre</t>
  </si>
  <si>
    <t>3ocmnfbhj7ens8gtogbbigv1i4@google.com</t>
  </si>
  <si>
    <t>OK 2026-01-07 09:55</t>
  </si>
  <si>
    <t>2026_0002</t>
  </si>
  <si>
    <t>Mélodie Massun</t>
  </si>
  <si>
    <t>melodie_massun@outlook.com</t>
  </si>
  <si>
    <t>Noduwez</t>
  </si>
  <si>
    <t>hn8p45hfbesepric5p54m4ufkc@google.com</t>
  </si>
  <si>
    <t xml:space="preserve">Turkan Tahmaz </t>
  </si>
  <si>
    <t>tahmaz_turkan@hotmail.com</t>
  </si>
  <si>
    <t>kkfc8ist0eeggmlubq5mh7t5q4@google.com</t>
  </si>
  <si>
    <t>OK 2026-01-07 10:03</t>
  </si>
  <si>
    <t>Mme Stocq</t>
  </si>
  <si>
    <t>marie-christine.stocq@police.belgium.eu</t>
  </si>
  <si>
    <t>FLEURUS</t>
  </si>
  <si>
    <t>sjs486976qcnfuo987mt67lu4k@google.com</t>
  </si>
  <si>
    <t>Pauline Demarche</t>
  </si>
  <si>
    <t>pauline.demarche@hotmail.com</t>
  </si>
  <si>
    <t>la Ferme du Banneway, Sprimont</t>
  </si>
  <si>
    <t>tpl87fpnmmbl66gtsodhgqavag@google.com</t>
  </si>
  <si>
    <t>OK 2026-01-12 13:56</t>
  </si>
  <si>
    <t>Fanny Patini</t>
  </si>
  <si>
    <t>fanny.patini.h@gmail.com</t>
  </si>
  <si>
    <t>Gozée salle la Fourchette d’Or</t>
  </si>
  <si>
    <t>02de4gtpmc13dglc7vs0b0e7u8@google.com</t>
  </si>
  <si>
    <t>OK 2026-01-12 13:54</t>
  </si>
  <si>
    <t>Sabrina  Franz</t>
  </si>
  <si>
    <t>sabrinafranz0728@gmail.com</t>
  </si>
  <si>
    <t>Orges 52150</t>
  </si>
  <si>
    <t>100-150</t>
  </si>
  <si>
    <t>25v0s1ndu5n676nt3msb6k6130@google.com</t>
  </si>
  <si>
    <t>Florian Prodéo</t>
  </si>
  <si>
    <t>Palais des congrès mons</t>
  </si>
  <si>
    <t>6vf89ivn39esdvirhuatj5tr6c@google.com</t>
  </si>
  <si>
    <t>OK 2026-01-12 22:04</t>
  </si>
  <si>
    <t>Zara Hanane</t>
  </si>
  <si>
    <t>k646te3q4mvo8c41celiopbpog@google.com</t>
  </si>
  <si>
    <t>OK 2026-01-12 22:28</t>
  </si>
  <si>
    <t>moahhl3vrqhb0m15ngaeiqu4hk@google.com</t>
  </si>
  <si>
    <t>OK 2026-01-13 11:01</t>
  </si>
  <si>
    <t>eef1i8lgg5bb8saorv8r807srg@google.com</t>
  </si>
  <si>
    <t>Date</t>
  </si>
  <si>
    <t># Leads META</t>
  </si>
  <si>
    <t>Spent META</t>
  </si>
  <si>
    <t>CPL META</t>
  </si>
  <si>
    <t># closing META</t>
  </si>
  <si>
    <t>Conversion (%) META</t>
  </si>
  <si>
    <t>CPA META</t>
  </si>
  <si>
    <t># Leads Total</t>
  </si>
  <si>
    <t>CPL Total</t>
  </si>
  <si>
    <t># closing Total</t>
  </si>
  <si>
    <t>Conversion (%) total</t>
  </si>
  <si>
    <t>CPA G</t>
  </si>
  <si>
    <t># C.Découverte</t>
  </si>
  <si>
    <t># C.Essentiel</t>
  </si>
  <si>
    <t># C.Premium</t>
  </si>
  <si>
    <t>Acomptes (payés)</t>
  </si>
  <si>
    <t># Events</t>
  </si>
  <si>
    <t># E.Découverte</t>
  </si>
  <si>
    <t># E.Essentiel</t>
  </si>
  <si>
    <t># E.Premium</t>
  </si>
  <si>
    <t>Total (event)</t>
  </si>
  <si>
    <t>Acomptes (event)</t>
  </si>
  <si>
    <t>Restants (event)</t>
  </si>
  <si>
    <t>CA (Acomptes + Restants)</t>
  </si>
  <si>
    <t>CA généré (Event + Transport)</t>
  </si>
  <si>
    <t>€ transport (Ev. Réalisés)</t>
  </si>
  <si>
    <t>Coût packs (Ev. Réalisés)</t>
  </si>
  <si>
    <t>Heures étudiants</t>
  </si>
  <si>
    <t>Coût staff étudiants</t>
  </si>
  <si>
    <t>Essence</t>
  </si>
  <si>
    <t>Comm Commerciaux</t>
  </si>
  <si>
    <t>Charges fixes mensuelles</t>
  </si>
  <si>
    <t>Marge brute opé. (Events)</t>
  </si>
  <si>
    <t>Marge nette opé. (Events)</t>
  </si>
  <si>
    <t>Cashflow Brut (mensuel)</t>
  </si>
  <si>
    <t>Cashflow Net (mensuel)</t>
  </si>
  <si>
    <t>Heures</t>
  </si>
  <si>
    <t>Heures corrigés</t>
  </si>
  <si>
    <t>Rémunération</t>
  </si>
  <si>
    <t>Total Calls</t>
  </si>
  <si>
    <t>&lt; 30 secs (no reply)</t>
  </si>
  <si>
    <t>&gt; 30 secs</t>
  </si>
  <si>
    <t>&gt; 1 min</t>
  </si>
  <si>
    <t>&gt; 2 min</t>
  </si>
  <si>
    <t>&gt; 5 min</t>
  </si>
  <si>
    <t>&gt; 5 min (%)</t>
  </si>
  <si>
    <t>Bonus &gt; 5 min</t>
  </si>
  <si>
    <t>Calls answered</t>
  </si>
  <si>
    <t>Closed</t>
  </si>
  <si>
    <t>Conversion (%)</t>
  </si>
  <si>
    <t>Commissions TVAC</t>
  </si>
  <si>
    <t>Bonus Conv (%)</t>
  </si>
  <si>
    <t>CB planifiés</t>
  </si>
  <si>
    <t>CB réalisés</t>
  </si>
  <si>
    <t>CB réalisés (%)</t>
  </si>
  <si>
    <t>Bonus CB</t>
  </si>
  <si>
    <t>Total Bonus TVAC</t>
  </si>
  <si>
    <t>Total TVAC</t>
  </si>
  <si>
    <t>Total HTVA</t>
  </si>
  <si>
    <t>Lakhdar</t>
  </si>
  <si>
    <t>Yassine</t>
  </si>
  <si>
    <t xml:space="preserve">Pack </t>
  </si>
  <si>
    <t xml:space="preserve">Prix </t>
  </si>
  <si>
    <t xml:space="preserve">Coût Variable </t>
  </si>
  <si>
    <t>Transport</t>
  </si>
  <si>
    <t xml:space="preserve">Marge Unitaire </t>
  </si>
  <si>
    <t>Commission</t>
  </si>
  <si>
    <t xml:space="preserve">Point Mort </t>
  </si>
  <si>
    <t>acompte</t>
  </si>
  <si>
    <t>Nbre de pack /mois</t>
  </si>
  <si>
    <t>Nbre d'acompte /mois</t>
  </si>
  <si>
    <t>Type de bonus</t>
  </si>
  <si>
    <t>Condition</t>
  </si>
  <si>
    <t>Paliers / Montants TVAC</t>
  </si>
  <si>
    <t xml:space="preserve">Pack Découverte </t>
  </si>
  <si>
    <t>Bonus Conversion (%)</t>
  </si>
  <si>
    <t>Taux de conversion &gt;= 8%</t>
  </si>
  <si>
    <t>8% = 50€</t>
  </si>
  <si>
    <t xml:space="preserve">Pack Essentiel </t>
  </si>
  <si>
    <t>10% = 100€</t>
  </si>
  <si>
    <t>Pack Premium</t>
  </si>
  <si>
    <t>12% = 150€</t>
  </si>
  <si>
    <t>Bonus Appels &gt; 5 min</t>
  </si>
  <si>
    <t>% appels &gt; 5min (sur appels répondus)</t>
  </si>
  <si>
    <t>&gt;=10% = 50€</t>
  </si>
  <si>
    <t>&gt;=15% = 75€</t>
  </si>
  <si>
    <t>&gt;=20% = 100€</t>
  </si>
  <si>
    <t>Bénéfice du mois</t>
  </si>
  <si>
    <t>Bonus Callbacks</t>
  </si>
  <si>
    <t>% de callbacks réalisés</t>
  </si>
  <si>
    <t>&gt;=80% = 25€</t>
  </si>
  <si>
    <t>&gt;=90% = 50€</t>
  </si>
  <si>
    <t>=100% = 75€</t>
  </si>
  <si>
    <t>Poste</t>
  </si>
  <si>
    <t>Montant</t>
  </si>
  <si>
    <t>Zen Facture</t>
  </si>
  <si>
    <t>Abonnement Gsm +Wifi</t>
  </si>
  <si>
    <t>Compta</t>
  </si>
  <si>
    <t>Garage</t>
  </si>
  <si>
    <t>Canva</t>
  </si>
  <si>
    <t>Chat gpt</t>
  </si>
  <si>
    <t>Income</t>
  </si>
  <si>
    <t>Expenses</t>
  </si>
  <si>
    <t>YTD</t>
  </si>
  <si>
    <t>TOP 5 &amp; 10</t>
  </si>
  <si>
    <t>TRIMESTRE 4</t>
  </si>
  <si>
    <t>TRIMESTRE 3</t>
  </si>
  <si>
    <t>TRIMESTRE 2</t>
  </si>
  <si>
    <t>TRIMESTRE 1</t>
  </si>
  <si>
    <t>Date valeur</t>
  </si>
  <si>
    <t>Nom de la contrepartie</t>
  </si>
  <si>
    <t>Envoyé chez le Comptable</t>
  </si>
  <si>
    <t>PayPal Europe S,a,r,l, et Cie S,C,A</t>
  </si>
  <si>
    <t>Mouad Zhiri</t>
  </si>
  <si>
    <t>GOOGLE*ADS2562841431</t>
  </si>
  <si>
    <t>ATAL AF</t>
  </si>
  <si>
    <t>SRL PRO SOCIAL</t>
  </si>
  <si>
    <t>Whitworth Jonathan</t>
  </si>
  <si>
    <t>SYSTEME STARTUP</t>
  </si>
  <si>
    <t>DKV EURO SERVICE Gmb</t>
  </si>
  <si>
    <t>ASSOCIATION SECTEUR 7</t>
  </si>
  <si>
    <t>Monique Decloedt</t>
  </si>
  <si>
    <t>Catherine Dutron</t>
  </si>
  <si>
    <t>BALOISE BELGIUM NV</t>
  </si>
  <si>
    <t>Brico MP</t>
  </si>
  <si>
    <t>SWISS HOTELS LEASING COMPANY NV</t>
  </si>
  <si>
    <t>DKV Euro Service GmbH Co</t>
  </si>
  <si>
    <t>PROXIMUS</t>
  </si>
  <si>
    <t>POTH-HENNEN JEROME + KELLY</t>
  </si>
  <si>
    <t>OPENAI *CHATGPT SUBSCR</t>
  </si>
  <si>
    <t>BEN ALI SARAH</t>
  </si>
  <si>
    <t>Action 2402 ST, JANS</t>
  </si>
  <si>
    <t>FOTOSHARE-CLOUD-PLUS</t>
  </si>
  <si>
    <t>M, SANDA (Decl,:)Emeroide</t>
  </si>
  <si>
    <t>Ecogestion</t>
  </si>
  <si>
    <t>Moniteur Belge</t>
  </si>
  <si>
    <t>MB HELLO GROUP SRL</t>
  </si>
  <si>
    <t>Coûts opérations diverses</t>
  </si>
  <si>
    <t>M,B, TECH</t>
  </si>
  <si>
    <t>DSLRBOOTH LUMABOOTH</t>
  </si>
  <si>
    <t>BOGHABA MOHAMED</t>
  </si>
  <si>
    <t>CASH</t>
  </si>
  <si>
    <t>RENEWI VORST FOREST</t>
  </si>
  <si>
    <t>Stichting Mollie Payments</t>
  </si>
  <si>
    <t>TEKKO SRL</t>
  </si>
  <si>
    <t>EUROPE CARPET B BRUXELLES</t>
  </si>
  <si>
    <r>
      <rPr>
        <rFont val="Helvetica Neue"/>
        <color rgb="FF1155CC"/>
        <u/>
      </rPr>
      <t>ADM,COM</t>
    </r>
    <r>
      <rPr>
        <rFont val="Helvetica Neue"/>
      </rPr>
      <t>, FLEURUS</t>
    </r>
  </si>
  <si>
    <r>
      <rPr>
        <rFont val="Helvetica Neue"/>
        <color rgb="FF1155CC"/>
        <u/>
      </rPr>
      <t>ADM,COM</t>
    </r>
    <r>
      <rPr>
        <rFont val="Helvetica Neue"/>
      </rPr>
      <t>, FLEURUS</t>
    </r>
  </si>
  <si>
    <t>RECETTES TVA</t>
  </si>
  <si>
    <t>MIFRATEL NV</t>
  </si>
  <si>
    <t>FACTURE 20240135 20240142</t>
  </si>
  <si>
    <t>UP-BilltoBox La Hulpe</t>
  </si>
  <si>
    <t>DKV EURO SERVICE GMBH + CO,KG</t>
  </si>
  <si>
    <t>PROXIMUS ANDERLE BRUXELLES</t>
  </si>
  <si>
    <t>ZONE POLICE FLEURUS-LES</t>
  </si>
  <si>
    <t xml:space="preserve">	LUKOIL 204 DILBE DILBEEK</t>
  </si>
  <si>
    <t xml:space="preserve">	Cashaca Software Antwerpen</t>
  </si>
  <si>
    <t>Grobet Antwerpen</t>
  </si>
  <si>
    <t>CANVA* I04497-82250487</t>
  </si>
  <si>
    <t>LUKOIL 204 DILBE DILBEEK</t>
  </si>
  <si>
    <t>EYE-T CONSULTING SRL</t>
  </si>
  <si>
    <t>MEDIA MARKT BRUX BRUXELLES</t>
  </si>
  <si>
    <t>d-Ligence Bruxelles</t>
  </si>
  <si>
    <t>MOHAMMED IMAD ABIDI</t>
  </si>
  <si>
    <t>VAN WEZEL AUTOPA TIENEN</t>
  </si>
  <si>
    <t>ANNICK ALLARD</t>
  </si>
  <si>
    <t>Q8 MOLENBEEK SINT-JANS</t>
  </si>
  <si>
    <t>L8P SCHELLE</t>
  </si>
  <si>
    <t>deduorva</t>
  </si>
  <si>
    <t>DERNELLE GEOFFROY</t>
  </si>
  <si>
    <t>MISTERFLY SAS Succursale Belgique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</si>
</sst>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,##0.00\ [$€-1]"/>
    <numFmt numFmtId="165" formatCode="dd/MM/yyyy"/>
    <numFmt numFmtId="166" formatCode="hh:mm"/>
    <numFmt numFmtId="167" formatCode="dd/mm/yyyy"/>
    <numFmt numFmtId="168" formatCode="d/m/yyyy"/>
    <numFmt numFmtId="169" formatCode="yyyy-mm-dd"/>
    <numFmt numFmtId="170" formatCode="d/m/yyyy hh:mm"/>
    <numFmt numFmtId="171" formatCode="dd/mm/yyyy hh:mm"/>
    <numFmt numFmtId="172" formatCode="mm-yyyy"/>
    <numFmt numFmtId="173" formatCode="_ * #,##0.00_)\ &quot;€&quot;_ ;_ * \(#,##0.00\)\ &quot;€&quot;_ ;_ * &quot;-&quot;??_)\ &quot;€&quot;_ ;_ @_ "/>
    <numFmt numFmtId="174" formatCode="m-yyyy"/>
    <numFmt numFmtId="175" formatCode="#,##0&quot;€&quot;"/>
    <numFmt numFmtId="176" formatCode="[$€]#,##0.00"/>
  </numFmts>
  <fonts count="26">
    <font>
      <sz val="10.0"/>
      <color rgb="FF000000"/>
      <name val="Arial"/>
      <scheme val="minor"/>
    </font>
    <font>
      <b/>
      <color rgb="FF000000"/>
      <name val="Google Sans Mono"/>
    </font>
    <font>
      <b/>
      <color rgb="FFFFFFFF"/>
      <name val="Google Sans Mono"/>
    </font>
    <font>
      <color theme="1"/>
      <name val="Google Sans Mono"/>
    </font>
    <font>
      <color theme="1"/>
      <name val="Arial"/>
      <scheme val="minor"/>
    </font>
    <font>
      <u/>
      <color rgb="FF0000FF"/>
      <name val="Google Sans Mono"/>
    </font>
    <font>
      <b/>
      <color theme="1"/>
      <name val="Google Sans Mono"/>
    </font>
    <font>
      <sz val="12.0"/>
      <color theme="1"/>
      <name val="Calibri"/>
    </font>
    <font>
      <color rgb="FF44546A"/>
      <name val="Montserrat"/>
    </font>
    <font>
      <b/>
      <color theme="1"/>
      <name val="Arial"/>
      <scheme val="minor"/>
    </font>
    <font>
      <b/>
      <sz val="12.0"/>
      <color rgb="FF44546A"/>
      <name val="Calibri"/>
    </font>
    <font>
      <color rgb="FF134F5C"/>
      <name val="Montserrat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C53929"/>
      <name val="Arial"/>
    </font>
    <font/>
    <font>
      <b/>
      <sz val="12.0"/>
      <color rgb="FFC53929"/>
      <name val="Arial"/>
    </font>
    <font>
      <color rgb="FF000000"/>
      <name val="Helvetica Neue"/>
    </font>
    <font>
      <color rgb="FFC53929"/>
      <name val="Arial"/>
    </font>
    <font>
      <b/>
      <sz val="12.0"/>
      <color rgb="FF000000"/>
      <name val="Arial"/>
    </font>
    <font>
      <b/>
      <color rgb="FF000000"/>
      <name val="Helvetica Neue"/>
    </font>
    <font>
      <color rgb="FF333333"/>
      <name val="Inherit"/>
    </font>
    <font>
      <sz val="11.0"/>
      <color rgb="FF333333"/>
      <name val="Light"/>
    </font>
    <font>
      <u/>
      <color rgb="FF0000FF"/>
      <name val="Helvetica Neue"/>
    </font>
    <font>
      <sz val="11.0"/>
      <color rgb="FF33333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3F3F3"/>
        <bgColor rgb="FFF3F3F3"/>
      </patternFill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ECECE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49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2" fontId="2" numFmtId="0" xfId="0" applyAlignment="1" applyFill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3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49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readingOrder="0" shrinkToFit="0" wrapText="0"/>
    </xf>
    <xf borderId="0" fillId="0" fontId="3" numFmtId="166" xfId="0" applyAlignment="1" applyFont="1" applyNumberForma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horizontal="center" readingOrder="0" shrinkToFit="0" wrapText="0"/>
    </xf>
    <xf borderId="0" fillId="0" fontId="3" numFmtId="4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readingOrder="0" shrinkToFit="0" wrapText="0"/>
    </xf>
    <xf borderId="0" fillId="0" fontId="3" numFmtId="3" xfId="0" applyAlignment="1" applyFont="1" applyNumberFormat="1">
      <alignment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horizontal="right" shrinkToFit="0" wrapText="0"/>
    </xf>
    <xf borderId="0" fillId="0" fontId="4" numFmtId="164" xfId="0" applyFont="1" applyNumberFormat="1"/>
    <xf borderId="0" fillId="0" fontId="3" numFmtId="0" xfId="0" applyAlignment="1" applyFont="1">
      <alignment readingOrder="0" shrinkToFit="0" wrapText="0"/>
    </xf>
    <xf borderId="0" fillId="0" fontId="5" numFmtId="49" xfId="0" applyAlignment="1" applyFont="1" applyNumberForma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67" xfId="0" applyAlignment="1" applyFont="1" applyNumberFormat="1">
      <alignment readingOrder="0" shrinkToFit="0" wrapText="0"/>
    </xf>
    <xf borderId="0" fillId="0" fontId="3" numFmtId="168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167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3" numFmtId="169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3" numFmtId="4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3" numFmtId="170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readingOrder="0" vertical="bottom"/>
    </xf>
    <xf borderId="0" fillId="0" fontId="3" numFmtId="171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2" fontId="2" numFmtId="0" xfId="0" applyAlignment="1" applyFont="1">
      <alignment horizontal="right" readingOrder="0"/>
    </xf>
    <xf borderId="0" fillId="0" fontId="3" numFmtId="17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10" xfId="0" applyFont="1" applyNumberFormat="1"/>
    <xf borderId="0" fillId="0" fontId="3" numFmtId="4" xfId="0" applyAlignment="1" applyFont="1" applyNumberFormat="1">
      <alignment readingOrder="0"/>
    </xf>
    <xf borderId="0" fillId="0" fontId="3" numFmtId="173" xfId="0" applyFont="1" applyNumberFormat="1"/>
    <xf borderId="0" fillId="0" fontId="6" numFmtId="164" xfId="0" applyFont="1" applyNumberFormat="1"/>
    <xf borderId="0" fillId="0" fontId="6" numFmtId="10" xfId="0" applyFont="1" applyNumberFormat="1"/>
    <xf borderId="0" fillId="0" fontId="3" numFmtId="4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6" numFmtId="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0" fontId="3" numFmtId="174" xfId="0" applyAlignment="1" applyFont="1" applyNumberFormat="1">
      <alignment horizontal="right" readingOrder="0"/>
    </xf>
    <xf borderId="0" fillId="0" fontId="3" numFmtId="10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0" xfId="0" applyAlignment="1" applyFont="1" applyNumberFormat="1">
      <alignment horizontal="right"/>
    </xf>
    <xf borderId="0" fillId="0" fontId="3" numFmtId="3" xfId="0" applyAlignment="1" applyFont="1" applyNumberFormat="1">
      <alignment horizontal="right" readingOrder="0"/>
    </xf>
    <xf borderId="0" fillId="0" fontId="3" numFmtId="174" xfId="0" applyAlignment="1" applyFont="1" applyNumberFormat="1">
      <alignment readingOrder="0"/>
    </xf>
    <xf borderId="0" fillId="3" fontId="7" numFmtId="0" xfId="0" applyAlignment="1" applyFill="1" applyFont="1">
      <alignment horizontal="center" shrinkToFit="0" wrapText="1"/>
    </xf>
    <xf borderId="0" fillId="3" fontId="7" numFmtId="164" xfId="0" applyAlignment="1" applyFont="1" applyNumberFormat="1">
      <alignment horizontal="center" shrinkToFit="0" wrapText="1"/>
    </xf>
    <xf borderId="0" fillId="4" fontId="7" numFmtId="0" xfId="0" applyAlignment="1" applyFill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Font="1"/>
    <xf borderId="0" fillId="0" fontId="7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5" fontId="7" numFmtId="173" xfId="0" applyAlignment="1" applyFont="1" applyNumberFormat="1">
      <alignment horizontal="right" readingOrder="0" vertical="bottom"/>
    </xf>
    <xf borderId="0" fillId="5" fontId="7" numFmtId="164" xfId="0" applyAlignment="1" applyFont="1" applyNumberFormat="1">
      <alignment horizontal="right" readingOrder="0" vertical="bottom"/>
    </xf>
    <xf borderId="0" fillId="5" fontId="7" numFmtId="173" xfId="0" applyAlignment="1" applyFont="1" applyNumberFormat="1">
      <alignment horizontal="right" vertical="bottom"/>
    </xf>
    <xf borderId="0" fillId="5" fontId="7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1" fillId="0" fontId="9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right" readingOrder="0"/>
    </xf>
    <xf borderId="0" fillId="6" fontId="8" numFmtId="0" xfId="0" applyAlignment="1" applyFill="1" applyFont="1">
      <alignment vertical="bottom"/>
    </xf>
    <xf borderId="0" fillId="6" fontId="7" numFmtId="173" xfId="0" applyAlignment="1" applyFont="1" applyNumberFormat="1">
      <alignment horizontal="right" vertical="bottom"/>
    </xf>
    <xf borderId="0" fillId="6" fontId="7" numFmtId="173" xfId="0" applyAlignment="1" applyFont="1" applyNumberFormat="1">
      <alignment horizontal="right" readingOrder="0" vertical="bottom"/>
    </xf>
    <xf borderId="0" fillId="6" fontId="7" numFmtId="0" xfId="0" applyAlignment="1" applyFont="1">
      <alignment vertical="bottom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horizontal="right"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right" readingOrder="0"/>
    </xf>
    <xf borderId="0" fillId="5" fontId="7" numFmtId="173" xfId="0" applyAlignment="1" applyFont="1" applyNumberFormat="1">
      <alignment vertical="bottom"/>
    </xf>
    <xf borderId="0" fillId="5" fontId="7" numFmtId="164" xfId="0" applyAlignment="1" applyFont="1" applyNumberFormat="1">
      <alignment vertical="bottom"/>
    </xf>
    <xf borderId="0" fillId="6" fontId="7" numFmtId="16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9" fillId="0" fontId="10" numFmtId="0" xfId="0" applyAlignment="1" applyBorder="1" applyFont="1">
      <alignment vertical="bottom"/>
    </xf>
    <xf borderId="10" fillId="0" fontId="10" numFmtId="173" xfId="0" applyAlignment="1" applyBorder="1" applyFont="1" applyNumberFormat="1">
      <alignment horizontal="right" vertical="bottom"/>
    </xf>
    <xf borderId="4" fillId="0" fontId="4" numFmtId="0" xfId="0" applyBorder="1" applyFont="1"/>
    <xf borderId="5" fillId="0" fontId="4" numFmtId="175" xfId="0" applyAlignment="1" applyBorder="1" applyFont="1" applyNumberFormat="1">
      <alignment horizontal="right" readingOrder="0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quotePrefix="1" borderId="8" fillId="0" fontId="4" numFmtId="175" xfId="0" applyAlignment="1" applyBorder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3" fontId="7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5" fontId="11" numFmtId="173" xfId="0" applyAlignment="1" applyFont="1" applyNumberFormat="1">
      <alignment horizontal="right" readingOrder="0" vertical="bottom"/>
    </xf>
    <xf borderId="0" fillId="6" fontId="11" numFmtId="0" xfId="0" applyAlignment="1" applyFont="1">
      <alignment vertical="bottom"/>
    </xf>
    <xf borderId="0" fillId="6" fontId="11" numFmtId="173" xfId="0" applyAlignment="1" applyFont="1" applyNumberFormat="1">
      <alignment horizontal="right" readingOrder="0" vertical="bottom"/>
    </xf>
    <xf borderId="0" fillId="6" fontId="11" numFmtId="173" xfId="0" applyAlignment="1" applyFont="1" applyNumberFormat="1">
      <alignment horizontal="right" vertical="bottom"/>
    </xf>
    <xf borderId="0" fillId="6" fontId="7" numFmtId="173" xfId="0" applyAlignment="1" applyFont="1" applyNumberFormat="1">
      <alignment vertical="bottom"/>
    </xf>
    <xf borderId="0" fillId="5" fontId="11" numFmtId="173" xfId="0" applyAlignment="1" applyFont="1" applyNumberFormat="1">
      <alignment horizontal="right" vertical="bottom"/>
    </xf>
    <xf borderId="0" fillId="0" fontId="12" numFmtId="168" xfId="0" applyAlignment="1" applyFont="1" applyNumberFormat="1">
      <alignment vertical="bottom"/>
    </xf>
    <xf borderId="0" fillId="0" fontId="12" numFmtId="176" xfId="0" applyFont="1" applyNumberFormat="1"/>
    <xf borderId="0" fillId="0" fontId="13" numFmtId="176" xfId="0" applyAlignment="1" applyFont="1" applyNumberFormat="1">
      <alignment horizontal="center"/>
    </xf>
    <xf borderId="0" fillId="0" fontId="12" numFmtId="176" xfId="0" applyAlignment="1" applyFont="1" applyNumberFormat="1">
      <alignment vertical="bottom"/>
    </xf>
    <xf borderId="11" fillId="0" fontId="13" numFmtId="176" xfId="0" applyAlignment="1" applyBorder="1" applyFont="1" applyNumberFormat="1">
      <alignment horizontal="center"/>
    </xf>
    <xf borderId="11" fillId="0" fontId="14" numFmtId="176" xfId="0" applyAlignment="1" applyBorder="1" applyFont="1" applyNumberFormat="1">
      <alignment horizontal="right" vertical="bottom"/>
    </xf>
    <xf borderId="11" fillId="0" fontId="15" numFmtId="176" xfId="0" applyAlignment="1" applyBorder="1" applyFont="1" applyNumberFormat="1">
      <alignment horizontal="right" vertical="bottom"/>
    </xf>
    <xf borderId="12" fillId="0" fontId="16" numFmtId="0" xfId="0" applyBorder="1" applyFont="1"/>
    <xf borderId="11" fillId="7" fontId="17" numFmtId="176" xfId="0" applyAlignment="1" applyBorder="1" applyFill="1" applyFont="1" applyNumberFormat="1">
      <alignment horizontal="right" vertical="bottom"/>
    </xf>
    <xf borderId="0" fillId="0" fontId="18" numFmtId="168" xfId="0" applyAlignment="1" applyFont="1" applyNumberFormat="1">
      <alignment readingOrder="0" vertical="top"/>
    </xf>
    <xf borderId="0" fillId="0" fontId="18" numFmtId="0" xfId="0" applyAlignment="1" applyFont="1">
      <alignment readingOrder="0" vertical="top"/>
    </xf>
    <xf borderId="0" fillId="0" fontId="18" numFmtId="164" xfId="0" applyAlignment="1" applyFont="1" applyNumberFormat="1">
      <alignment readingOrder="0" vertical="top"/>
    </xf>
    <xf borderId="0" fillId="0" fontId="18" numFmtId="164" xfId="0" applyAlignment="1" applyFont="1" applyNumberFormat="1">
      <alignment horizontal="right" readingOrder="0" vertical="top"/>
    </xf>
    <xf borderId="13" fillId="0" fontId="13" numFmtId="176" xfId="0" applyAlignment="1" applyBorder="1" applyFont="1" applyNumberFormat="1">
      <alignment horizontal="center"/>
    </xf>
    <xf borderId="14" fillId="0" fontId="16" numFmtId="0" xfId="0" applyBorder="1" applyFont="1"/>
    <xf borderId="15" fillId="0" fontId="16" numFmtId="0" xfId="0" applyBorder="1" applyFont="1"/>
    <xf borderId="1" fillId="0" fontId="12" numFmtId="0" xfId="0" applyAlignment="1" applyBorder="1" applyFont="1">
      <alignment readingOrder="0" vertical="bottom"/>
    </xf>
    <xf borderId="2" fillId="0" fontId="12" numFmtId="176" xfId="0" applyAlignment="1" applyBorder="1" applyFont="1" applyNumberFormat="1">
      <alignment horizontal="right"/>
    </xf>
    <xf borderId="5" fillId="0" fontId="12" numFmtId="176" xfId="0" applyAlignment="1" applyBorder="1" applyFont="1" applyNumberFormat="1">
      <alignment horizontal="right"/>
    </xf>
    <xf borderId="4" fillId="0" fontId="12" numFmtId="0" xfId="0" applyAlignment="1" applyBorder="1" applyFont="1">
      <alignment vertical="bottom"/>
    </xf>
    <xf borderId="0" fillId="0" fontId="12" numFmtId="176" xfId="0" applyAlignment="1" applyFont="1" applyNumberFormat="1">
      <alignment horizontal="right"/>
    </xf>
    <xf borderId="5" fillId="0" fontId="12" numFmtId="176" xfId="0" applyAlignment="1" applyBorder="1" applyFont="1" applyNumberFormat="1">
      <alignment horizontal="right" vertical="bottom"/>
    </xf>
    <xf borderId="0" fillId="0" fontId="12" numFmtId="0" xfId="0" applyAlignment="1" applyFont="1">
      <alignment vertical="bottom"/>
    </xf>
    <xf borderId="6" fillId="0" fontId="12" numFmtId="0" xfId="0" applyAlignment="1" applyBorder="1" applyFont="1">
      <alignment vertical="bottom"/>
    </xf>
    <xf borderId="7" fillId="0" fontId="12" numFmtId="176" xfId="0" applyAlignment="1" applyBorder="1" applyFont="1" applyNumberFormat="1">
      <alignment horizontal="right"/>
    </xf>
    <xf borderId="8" fillId="0" fontId="12" numFmtId="176" xfId="0" applyAlignment="1" applyBorder="1" applyFont="1" applyNumberFormat="1">
      <alignment horizontal="right" vertical="bottom"/>
    </xf>
    <xf borderId="5" fillId="0" fontId="19" numFmtId="176" xfId="0" applyAlignment="1" applyBorder="1" applyFont="1" applyNumberFormat="1">
      <alignment horizontal="right"/>
    </xf>
    <xf borderId="0" fillId="0" fontId="19" numFmtId="176" xfId="0" applyAlignment="1" applyFont="1" applyNumberFormat="1">
      <alignment horizontal="right"/>
    </xf>
    <xf borderId="7" fillId="0" fontId="12" numFmtId="176" xfId="0" applyBorder="1" applyFont="1" applyNumberFormat="1"/>
    <xf borderId="8" fillId="0" fontId="19" numFmtId="176" xfId="0" applyAlignment="1" applyBorder="1" applyFont="1" applyNumberFormat="1">
      <alignment horizontal="right"/>
    </xf>
    <xf borderId="11" fillId="0" fontId="13" numFmtId="176" xfId="0" applyAlignment="1" applyBorder="1" applyFont="1" applyNumberFormat="1">
      <alignment horizontal="center" readingOrder="0"/>
    </xf>
    <xf borderId="11" fillId="7" fontId="20" numFmtId="176" xfId="0" applyAlignment="1" applyBorder="1" applyFont="1" applyNumberFormat="1">
      <alignment horizontal="right" vertical="bottom"/>
    </xf>
    <xf borderId="0" fillId="8" fontId="21" numFmtId="0" xfId="0" applyAlignment="1" applyFill="1" applyFont="1">
      <alignment readingOrder="0" vertical="top"/>
    </xf>
    <xf borderId="0" fillId="8" fontId="21" numFmtId="0" xfId="0" applyAlignment="1" applyFont="1">
      <alignment horizontal="right" readingOrder="0" vertical="top"/>
    </xf>
    <xf borderId="16" fillId="9" fontId="22" numFmtId="0" xfId="0" applyAlignment="1" applyBorder="1" applyFill="1" applyFont="1">
      <alignment horizontal="left" readingOrder="0"/>
    </xf>
    <xf borderId="0" fillId="9" fontId="23" numFmtId="0" xfId="0" applyAlignment="1" applyFont="1">
      <alignment horizontal="left" readingOrder="0"/>
    </xf>
    <xf borderId="0" fillId="0" fontId="18" numFmtId="167" xfId="0" applyAlignment="1" applyFont="1" applyNumberFormat="1">
      <alignment readingOrder="0" vertical="top"/>
    </xf>
    <xf borderId="0" fillId="0" fontId="4" numFmtId="0" xfId="0" applyAlignment="1" applyFont="1">
      <alignment readingOrder="0" vertical="top"/>
    </xf>
    <xf borderId="7" fillId="0" fontId="18" numFmtId="167" xfId="0" applyAlignment="1" applyBorder="1" applyFont="1" applyNumberFormat="1">
      <alignment readingOrder="0" vertical="top"/>
    </xf>
    <xf borderId="7" fillId="0" fontId="4" numFmtId="0" xfId="0" applyAlignment="1" applyBorder="1" applyFont="1">
      <alignment vertical="top"/>
    </xf>
    <xf borderId="7" fillId="0" fontId="18" numFmtId="164" xfId="0" applyAlignment="1" applyBorder="1" applyFont="1" applyNumberFormat="1">
      <alignment readingOrder="0" vertical="top"/>
    </xf>
    <xf borderId="7" fillId="0" fontId="18" numFmtId="164" xfId="0" applyAlignment="1" applyBorder="1" applyFont="1" applyNumberFormat="1">
      <alignment horizontal="right" readingOrder="0" vertical="top"/>
    </xf>
    <xf borderId="7" fillId="0" fontId="18" numFmtId="0" xfId="0" applyAlignment="1" applyBorder="1" applyFont="1">
      <alignment readingOrder="0" vertical="top"/>
    </xf>
    <xf borderId="0" fillId="0" fontId="24" numFmtId="0" xfId="0" applyAlignment="1" applyFont="1">
      <alignment readingOrder="0" vertical="top"/>
    </xf>
    <xf borderId="0" fillId="9" fontId="23" numFmtId="0" xfId="0" applyAlignment="1" applyFont="1">
      <alignment horizontal="left" readingOrder="0" shrinkToFit="0" wrapText="0"/>
    </xf>
    <xf borderId="0" fillId="9" fontId="25" numFmtId="0" xfId="0" applyAlignment="1" applyFont="1">
      <alignment horizontal="left" readingOrder="0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b/>
        <color rgb="FFC53929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  <tableStyles count="2">
    <tableStyle count="3" pivot="0" name="KPI-style">
      <tableStyleElement dxfId="1" type="headerRow"/>
      <tableStyleElement dxfId="2" type="firstRowStripe"/>
      <tableStyleElement dxfId="3" type="secondRowStripe"/>
    </tableStyle>
    <tableStyle count="3" pivot="0" name="KPI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" displayName="Table_1" name="Table_1" id="1">
  <tableColumns count="10">
    <tableColumn name="Pack " id="1"/>
    <tableColumn name="Prix " id="2"/>
    <tableColumn name="Coût Variable " id="3"/>
    <tableColumn name="Transport" id="4"/>
    <tableColumn name="Marge Unitaire " id="5"/>
    <tableColumn name="Commission" id="6"/>
    <tableColumn name="Point Mort " id="7"/>
    <tableColumn name="acompte" id="8"/>
    <tableColumn name="Nbre de pack /mois" id="9"/>
    <tableColumn name="Nbre d'acompte /mois" id="10"/>
  </tableColumns>
  <tableStyleInfo name="KPI-style" showColumnStripes="0" showFirstColumn="1" showLastColumn="1" showRowStripes="1"/>
</table>
</file>

<file path=xl/tables/table2.xml><?xml version="1.0" encoding="utf-8"?>
<table xmlns="http://schemas.openxmlformats.org/spreadsheetml/2006/main" ref="A15:B30" displayName="Table_2" name="Table_2" id="2">
  <tableColumns count="2">
    <tableColumn name="Poste" id="1"/>
    <tableColumn name="Montant" id="2"/>
  </tableColumns>
  <tableStyleInfo name="KPI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toshare.co/e/uiL9GDehG8dbEVR4Sdu7h" TargetMode="External"/><Relationship Id="rId2" Type="http://schemas.openxmlformats.org/officeDocument/2006/relationships/hyperlink" Target="https://fotoshare.co/e/Wkvsrsgg_t5m1ac3fbSWd" TargetMode="External"/><Relationship Id="rId3" Type="http://schemas.openxmlformats.org/officeDocument/2006/relationships/hyperlink" Target="https://fotoshare.co/e/O3ZA3uF1tgwgBspfnpda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dm.com" TargetMode="External"/><Relationship Id="rId2" Type="http://schemas.openxmlformats.org/officeDocument/2006/relationships/hyperlink" Target="http://adm.com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20.13"/>
    <col customWidth="1" min="3" max="3" width="14.75"/>
    <col customWidth="1" min="4" max="4" width="9.0"/>
    <col customWidth="1" min="5" max="5" width="18.5"/>
    <col customWidth="1" min="6" max="6" width="14.75"/>
    <col customWidth="1" min="7" max="9" width="21.63"/>
    <col customWidth="1" min="10" max="10" width="13.5"/>
    <col customWidth="1" min="11" max="13" width="14.75"/>
    <col customWidth="1" min="14" max="14" width="16.5"/>
    <col customWidth="1" min="15" max="15" width="14.75"/>
    <col customWidth="1" min="16" max="16" width="20.5"/>
    <col customWidth="1" min="17" max="17" width="18.5"/>
    <col customWidth="1" min="18" max="18" width="20.5"/>
    <col customWidth="1" min="19" max="20" width="14.75"/>
    <col customWidth="1" min="21" max="21" width="16.5"/>
    <col customWidth="1" min="22" max="22" width="14.75"/>
    <col customWidth="1" min="23" max="23" width="17.25"/>
    <col customWidth="1" min="24" max="24" width="19.5"/>
    <col customWidth="1" min="25" max="29" width="17.25"/>
    <col customWidth="1" min="30" max="30" width="21.5"/>
    <col customWidth="1" min="31" max="37" width="14.75"/>
    <col customWidth="1" min="38" max="38" width="16.0"/>
    <col customWidth="1" min="39" max="39" width="14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3" t="s">
        <v>22</v>
      </c>
      <c r="X1" s="6" t="s">
        <v>23</v>
      </c>
      <c r="Y1" s="3" t="s">
        <v>24</v>
      </c>
      <c r="Z1" s="3" t="s">
        <v>25</v>
      </c>
      <c r="AA1" s="6" t="s">
        <v>26</v>
      </c>
      <c r="AB1" s="5" t="s">
        <v>27</v>
      </c>
      <c r="AC1" s="6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7" t="s">
        <v>37</v>
      </c>
      <c r="AM1" s="8" t="s">
        <v>38</v>
      </c>
    </row>
    <row r="2">
      <c r="A2" s="9" t="s">
        <v>39</v>
      </c>
      <c r="B2" s="9"/>
      <c r="C2" s="10" t="s">
        <v>40</v>
      </c>
      <c r="D2" s="11" t="s">
        <v>41</v>
      </c>
      <c r="E2" s="12"/>
      <c r="F2" s="12">
        <v>45668.0</v>
      </c>
      <c r="G2" s="13"/>
      <c r="H2" s="13"/>
      <c r="I2" s="14"/>
      <c r="J2" s="11" t="s">
        <v>42</v>
      </c>
      <c r="K2" s="9"/>
      <c r="L2" s="9" t="s">
        <v>43</v>
      </c>
      <c r="M2" s="15">
        <v>700.0</v>
      </c>
      <c r="N2" s="15"/>
      <c r="O2" s="14"/>
      <c r="P2" s="14"/>
      <c r="Q2" s="15"/>
      <c r="R2" s="12"/>
      <c r="S2" s="15"/>
      <c r="T2" s="15">
        <f t="shared" ref="T2:T3" si="1">M2</f>
        <v>700</v>
      </c>
      <c r="U2" s="15">
        <v>700.0</v>
      </c>
      <c r="V2" s="16" t="s">
        <v>44</v>
      </c>
      <c r="W2" s="17">
        <v>4.5</v>
      </c>
      <c r="X2" s="15">
        <v>70.0</v>
      </c>
      <c r="Y2" s="17">
        <v>65.0</v>
      </c>
      <c r="Z2" s="17">
        <v>260.0</v>
      </c>
      <c r="AA2" s="15">
        <v>39.0</v>
      </c>
      <c r="AB2" s="16"/>
      <c r="AC2" s="15">
        <f>IF(OR(L2="", AB2=""), 0,
  IF(L2="Découverte", KPI!$F$2,
    IF(L2="Essentiel", KPI!$F$3,
      IF(L2="Premium", KPI!$F$4, 0)
    )
  )
)</f>
        <v>0</v>
      </c>
      <c r="AD2" s="15">
        <f t="array" ref="AD2">IF(F2="", "", 
  (T2 / 1.21) 
  - IF(L2="Découverte", KPI!$C$2, 
      IF(L2="Essentiel", KPI!$C$3, 
        IF(L2="Premium", KPI!$C$4, 0)
      )
    ) 
  - N(X2) 
  - N(AA2) 
  - N(AC2)
  - IFERROR(INDEX(Stats!$G:$G, MATCH(DATE(YEAR(R2), MONTH(R2), 1), Stats!$A:$A, 0)), 35)
)</f>
        <v>342.0123967</v>
      </c>
      <c r="AE2" s="18"/>
      <c r="AF2" s="18"/>
      <c r="AG2" s="15"/>
      <c r="AH2" s="15" t="s">
        <v>45</v>
      </c>
      <c r="AI2" s="15" t="s">
        <v>46</v>
      </c>
      <c r="AJ2" s="15"/>
      <c r="AK2" s="15"/>
      <c r="AL2" s="19"/>
      <c r="AM2" s="17"/>
    </row>
    <row r="3">
      <c r="A3" s="9" t="s">
        <v>47</v>
      </c>
      <c r="B3" s="9"/>
      <c r="C3" s="10" t="s">
        <v>48</v>
      </c>
      <c r="D3" s="11" t="s">
        <v>41</v>
      </c>
      <c r="E3" s="12"/>
      <c r="F3" s="12">
        <v>45672.0</v>
      </c>
      <c r="G3" s="13"/>
      <c r="H3" s="13"/>
      <c r="I3" s="9" t="s">
        <v>49</v>
      </c>
      <c r="J3" s="11" t="s">
        <v>42</v>
      </c>
      <c r="K3" s="9"/>
      <c r="L3" s="9" t="s">
        <v>50</v>
      </c>
      <c r="M3" s="15">
        <v>645.0</v>
      </c>
      <c r="N3" s="15"/>
      <c r="O3" s="14"/>
      <c r="P3" s="14"/>
      <c r="Q3" s="15"/>
      <c r="R3" s="12"/>
      <c r="S3" s="15"/>
      <c r="T3" s="15">
        <f t="shared" si="1"/>
        <v>645</v>
      </c>
      <c r="U3" s="15">
        <v>645.0</v>
      </c>
      <c r="V3" s="16" t="s">
        <v>44</v>
      </c>
      <c r="W3" s="17">
        <v>4.5</v>
      </c>
      <c r="X3" s="15">
        <v>70.0</v>
      </c>
      <c r="Y3" s="17">
        <v>65.0</v>
      </c>
      <c r="Z3" s="17">
        <v>260.0</v>
      </c>
      <c r="AA3" s="15">
        <v>39.0</v>
      </c>
      <c r="AB3" s="16"/>
      <c r="AC3" s="15">
        <f>IF(OR(L3="", AB3=""), 0,
  IF(L3="Découverte", KPI!$F$2,
    IF(L3="Essentiel", KPI!$F$3,
      IF(L3="Premium", KPI!$F$4, 0)
    )
  )
)</f>
        <v>0</v>
      </c>
      <c r="AD3" s="15">
        <f t="array" ref="AD3">IF(F3="", "", 
  (T3 / 1.21) 
  - IF(L3="Découverte", KPI!$C$2, 
      IF(L3="Essentiel", KPI!$C$3, 
        IF(L3="Premium", KPI!$C$4, 0)
      )
    ) 
  - N(X3) 
  - N(AA3) 
  - N(AC3)
  - IFERROR(INDEX(Stats!$G:$G, MATCH(DATE(YEAR(R3), MONTH(R3), 1), Stats!$A:$A, 0)), 35)
)</f>
        <v>342.8078512</v>
      </c>
      <c r="AE3" s="18"/>
      <c r="AF3" s="18"/>
      <c r="AG3" s="15"/>
      <c r="AH3" s="15" t="s">
        <v>51</v>
      </c>
      <c r="AI3" s="15" t="s">
        <v>52</v>
      </c>
      <c r="AJ3" s="15"/>
      <c r="AK3" s="15"/>
      <c r="AL3" s="19"/>
      <c r="AM3" s="17" t="s">
        <v>53</v>
      </c>
    </row>
    <row r="4">
      <c r="A4" s="9" t="s">
        <v>47</v>
      </c>
      <c r="B4" s="9"/>
      <c r="C4" s="10"/>
      <c r="D4" s="11" t="s">
        <v>41</v>
      </c>
      <c r="E4" s="12"/>
      <c r="F4" s="12"/>
      <c r="G4" s="13"/>
      <c r="H4" s="13"/>
      <c r="I4" s="9"/>
      <c r="J4" s="11"/>
      <c r="K4" s="9"/>
      <c r="L4" s="9"/>
      <c r="M4" s="15">
        <v>595.0</v>
      </c>
      <c r="N4" s="15"/>
      <c r="O4" s="14"/>
      <c r="P4" s="14"/>
      <c r="Q4" s="15"/>
      <c r="R4" s="12"/>
      <c r="S4" s="15"/>
      <c r="T4" s="15"/>
      <c r="U4" s="15"/>
      <c r="V4" s="16"/>
      <c r="W4" s="17"/>
      <c r="X4" s="15"/>
      <c r="Y4" s="17"/>
      <c r="Z4" s="17"/>
      <c r="AA4" s="15"/>
      <c r="AB4" s="16"/>
      <c r="AC4" s="15"/>
      <c r="AD4" s="15"/>
      <c r="AE4" s="18"/>
      <c r="AF4" s="18"/>
      <c r="AG4" s="15"/>
      <c r="AH4" s="15"/>
      <c r="AI4" s="15"/>
      <c r="AJ4" s="15"/>
      <c r="AK4" s="15"/>
      <c r="AL4" s="19"/>
      <c r="AM4" s="17" t="s">
        <v>54</v>
      </c>
    </row>
    <row r="5">
      <c r="A5" s="9" t="s">
        <v>55</v>
      </c>
      <c r="B5" s="9"/>
      <c r="C5" s="10" t="s">
        <v>56</v>
      </c>
      <c r="D5" s="11" t="s">
        <v>41</v>
      </c>
      <c r="E5" s="12"/>
      <c r="F5" s="12">
        <v>45673.0</v>
      </c>
      <c r="G5" s="13"/>
      <c r="H5" s="13"/>
      <c r="I5" s="9" t="s">
        <v>49</v>
      </c>
      <c r="J5" s="11" t="s">
        <v>42</v>
      </c>
      <c r="K5" s="9"/>
      <c r="L5" s="9" t="s">
        <v>43</v>
      </c>
      <c r="M5" s="15">
        <v>545.0</v>
      </c>
      <c r="N5" s="15"/>
      <c r="O5" s="14"/>
      <c r="P5" s="14"/>
      <c r="Q5" s="15"/>
      <c r="R5" s="12"/>
      <c r="S5" s="15"/>
      <c r="T5" s="15">
        <f>M5</f>
        <v>545</v>
      </c>
      <c r="U5" s="15">
        <v>545.0</v>
      </c>
      <c r="V5" s="16" t="s">
        <v>44</v>
      </c>
      <c r="W5" s="17">
        <v>4.5</v>
      </c>
      <c r="X5" s="15">
        <v>70.0</v>
      </c>
      <c r="Y5" s="17">
        <v>65.0</v>
      </c>
      <c r="Z5" s="17">
        <v>260.0</v>
      </c>
      <c r="AA5" s="15">
        <v>39.0</v>
      </c>
      <c r="AB5" s="16"/>
      <c r="AC5" s="15">
        <f>IF(OR(L5="", AB5=""), 0,
  IF(L5="Découverte", KPI!$F$2,
    IF(L5="Essentiel", KPI!$F$3,
      IF(L5="Premium", KPI!$F$4, 0)
    )
  )
)</f>
        <v>0</v>
      </c>
      <c r="AD5" s="15">
        <f t="array" ref="AD5">IF(F5="", "", 
  (T5 / 1.21) 
  - IF(L5="Découverte", KPI!$C$2, 
      IF(L5="Essentiel", KPI!$C$3, 
        IF(L5="Premium", KPI!$C$4, 0)
      )
    ) 
  - N(X5) 
  - N(AA5) 
  - N(AC5)
  - IFERROR(INDEX(Stats!$G:$G, MATCH(DATE(YEAR(R5), MONTH(R5), 1), Stats!$A:$A, 0)), 35)
)</f>
        <v>213.9132231</v>
      </c>
      <c r="AE5" s="18"/>
      <c r="AF5" s="18"/>
      <c r="AG5" s="15"/>
      <c r="AH5" s="15" t="s">
        <v>57</v>
      </c>
      <c r="AI5" s="15" t="s">
        <v>52</v>
      </c>
      <c r="AJ5" s="15"/>
      <c r="AK5" s="15"/>
      <c r="AL5" s="19"/>
      <c r="AM5" s="17" t="s">
        <v>58</v>
      </c>
    </row>
    <row r="6">
      <c r="A6" s="9" t="s">
        <v>59</v>
      </c>
      <c r="B6" s="9"/>
      <c r="C6" s="10"/>
      <c r="D6" s="11" t="s">
        <v>41</v>
      </c>
      <c r="E6" s="12"/>
      <c r="F6" s="12"/>
      <c r="G6" s="13"/>
      <c r="H6" s="13"/>
      <c r="I6" s="9"/>
      <c r="J6" s="11" t="s">
        <v>42</v>
      </c>
      <c r="K6" s="9"/>
      <c r="L6" s="9"/>
      <c r="M6" s="15">
        <v>859.1</v>
      </c>
      <c r="N6" s="15"/>
      <c r="O6" s="14"/>
      <c r="P6" s="14"/>
      <c r="Q6" s="15"/>
      <c r="R6" s="12"/>
      <c r="S6" s="15"/>
      <c r="T6" s="15"/>
      <c r="U6" s="15"/>
      <c r="V6" s="16"/>
      <c r="W6" s="17"/>
      <c r="X6" s="15"/>
      <c r="Y6" s="17"/>
      <c r="Z6" s="17"/>
      <c r="AA6" s="15"/>
      <c r="AB6" s="16"/>
      <c r="AC6" s="15"/>
      <c r="AD6" s="15"/>
      <c r="AE6" s="18"/>
      <c r="AF6" s="18"/>
      <c r="AG6" s="15"/>
      <c r="AH6" s="15"/>
      <c r="AI6" s="15"/>
      <c r="AJ6" s="15"/>
      <c r="AK6" s="15"/>
      <c r="AL6" s="19"/>
      <c r="AM6" s="17" t="s">
        <v>60</v>
      </c>
    </row>
    <row r="7">
      <c r="A7" s="9" t="s">
        <v>61</v>
      </c>
      <c r="B7" s="9" t="s">
        <v>62</v>
      </c>
      <c r="C7" s="10" t="s">
        <v>63</v>
      </c>
      <c r="D7" s="11" t="s">
        <v>41</v>
      </c>
      <c r="E7" s="12"/>
      <c r="F7" s="12">
        <v>45682.0</v>
      </c>
      <c r="G7" s="13"/>
      <c r="H7" s="13"/>
      <c r="I7" s="9" t="s">
        <v>64</v>
      </c>
      <c r="J7" s="11" t="s">
        <v>65</v>
      </c>
      <c r="K7" s="9"/>
      <c r="L7" s="9" t="s">
        <v>66</v>
      </c>
      <c r="M7" s="15">
        <v>350.0</v>
      </c>
      <c r="N7" s="15">
        <v>80.0</v>
      </c>
      <c r="O7" s="14"/>
      <c r="P7" s="14"/>
      <c r="Q7" s="15"/>
      <c r="R7" s="12"/>
      <c r="S7" s="15"/>
      <c r="T7" s="15">
        <f t="shared" ref="T7:T44" si="2">SUM(M7:N7)</f>
        <v>430</v>
      </c>
      <c r="U7" s="15">
        <f t="shared" ref="U7:U44" si="3">T7-S7</f>
        <v>430</v>
      </c>
      <c r="V7" s="16" t="s">
        <v>44</v>
      </c>
      <c r="W7" s="17">
        <v>5.5</v>
      </c>
      <c r="X7" s="15">
        <v>70.0</v>
      </c>
      <c r="Y7" s="17">
        <v>86.0</v>
      </c>
      <c r="Z7" s="17">
        <v>344.0</v>
      </c>
      <c r="AA7" s="15">
        <v>51.6</v>
      </c>
      <c r="AB7" s="16"/>
      <c r="AC7" s="15">
        <f>IF(OR(L7="", AB7=""), 0,
  IF(L7="Découverte", KPI!$F$2,
    IF(L7="Essentiel", KPI!$F$3,
      IF(L7="Premium", KPI!$F$4, 0)
    )
  )
)</f>
        <v>0</v>
      </c>
      <c r="AD7" s="15">
        <f t="array" ref="AD7">IF(F7="", "", 
  (T7 / 1.21) 
  - IF(L7="Découverte", KPI!$C$2, 
      IF(L7="Essentiel", KPI!$C$3, 
        IF(L7="Premium", KPI!$C$4, 0)
      )
    ) 
  - N(X7) 
  - N(AA7) 
  - N(AC7)
  - IFERROR(INDEX(Stats!$G:$G, MATCH(DATE(YEAR(R7), MONTH(R7), 1), Stats!$A:$A, 0)), 35)
)</f>
        <v>175.6519008</v>
      </c>
      <c r="AE7" s="18"/>
      <c r="AF7" s="18"/>
      <c r="AG7" s="15"/>
      <c r="AH7" s="15" t="s">
        <v>67</v>
      </c>
      <c r="AI7" s="15" t="s">
        <v>68</v>
      </c>
      <c r="AJ7" s="15"/>
      <c r="AK7" s="15"/>
      <c r="AL7" s="19"/>
      <c r="AM7" s="17" t="s">
        <v>69</v>
      </c>
    </row>
    <row r="8">
      <c r="A8" s="9" t="s">
        <v>70</v>
      </c>
      <c r="B8" s="9" t="s">
        <v>71</v>
      </c>
      <c r="C8" s="10" t="s">
        <v>72</v>
      </c>
      <c r="D8" s="11" t="s">
        <v>41</v>
      </c>
      <c r="E8" s="12"/>
      <c r="F8" s="12">
        <v>45738.0</v>
      </c>
      <c r="G8" s="13"/>
      <c r="H8" s="13"/>
      <c r="I8" s="9" t="s">
        <v>73</v>
      </c>
      <c r="J8" s="11" t="s">
        <v>65</v>
      </c>
      <c r="K8" s="9"/>
      <c r="L8" s="9" t="s">
        <v>43</v>
      </c>
      <c r="M8" s="15">
        <v>500.0</v>
      </c>
      <c r="N8" s="15">
        <v>80.0</v>
      </c>
      <c r="O8" s="14"/>
      <c r="P8" s="14"/>
      <c r="Q8" s="15"/>
      <c r="R8" s="12"/>
      <c r="S8" s="15"/>
      <c r="T8" s="15">
        <f t="shared" si="2"/>
        <v>580</v>
      </c>
      <c r="U8" s="15">
        <f t="shared" si="3"/>
        <v>580</v>
      </c>
      <c r="V8" s="16" t="s">
        <v>44</v>
      </c>
      <c r="W8" s="17">
        <v>5.0</v>
      </c>
      <c r="X8" s="15">
        <v>70.0</v>
      </c>
      <c r="Y8" s="17">
        <v>79.0</v>
      </c>
      <c r="Z8" s="17">
        <v>316.0</v>
      </c>
      <c r="AA8" s="15">
        <v>47.4</v>
      </c>
      <c r="AB8" s="16"/>
      <c r="AC8" s="15">
        <f>IF(OR(L8="", AB8=""), 0,
  IF(L8="Découverte", KPI!$F$2,
    IF(L8="Essentiel", KPI!$F$3,
      IF(L8="Premium", KPI!$F$4, 0)
    )
  )
)</f>
        <v>0</v>
      </c>
      <c r="AD8" s="15">
        <f t="array" ref="AD8">IF(F8="", "", 
  (T8 / 1.21) 
  - IF(L8="Découverte", KPI!$C$2, 
      IF(L8="Essentiel", KPI!$C$3, 
        IF(L8="Premium", KPI!$C$4, 0)
      )
    ) 
  - N(X8) 
  - N(AA8) 
  - N(AC8)
  - IFERROR(INDEX(Stats!$G:$G, MATCH(DATE(YEAR(R8), MONTH(R8), 1), Stats!$A:$A, 0)), 35)
)</f>
        <v>234.438843</v>
      </c>
      <c r="AE8" s="18"/>
      <c r="AF8" s="18"/>
      <c r="AG8" s="15"/>
      <c r="AH8" s="15" t="s">
        <v>74</v>
      </c>
      <c r="AI8" s="15" t="s">
        <v>75</v>
      </c>
      <c r="AJ8" s="15"/>
      <c r="AK8" s="15" t="s">
        <v>76</v>
      </c>
      <c r="AL8" s="19"/>
      <c r="AM8" s="17" t="s">
        <v>77</v>
      </c>
    </row>
    <row r="9">
      <c r="A9" s="9" t="s">
        <v>78</v>
      </c>
      <c r="B9" s="9" t="s">
        <v>79</v>
      </c>
      <c r="C9" s="10" t="s">
        <v>80</v>
      </c>
      <c r="D9" s="11" t="s">
        <v>41</v>
      </c>
      <c r="E9" s="12"/>
      <c r="F9" s="12">
        <v>45759.0</v>
      </c>
      <c r="G9" s="13"/>
      <c r="H9" s="13"/>
      <c r="I9" s="9" t="s">
        <v>81</v>
      </c>
      <c r="J9" s="11" t="s">
        <v>65</v>
      </c>
      <c r="K9" s="9"/>
      <c r="L9" s="9" t="s">
        <v>43</v>
      </c>
      <c r="M9" s="15">
        <v>500.0</v>
      </c>
      <c r="N9" s="15">
        <v>80.0</v>
      </c>
      <c r="O9" s="14"/>
      <c r="P9" s="14"/>
      <c r="Q9" s="15"/>
      <c r="R9" s="12"/>
      <c r="S9" s="15"/>
      <c r="T9" s="15">
        <f t="shared" si="2"/>
        <v>580</v>
      </c>
      <c r="U9" s="15">
        <f t="shared" si="3"/>
        <v>580</v>
      </c>
      <c r="V9" s="16" t="s">
        <v>44</v>
      </c>
      <c r="W9" s="17">
        <v>5.5</v>
      </c>
      <c r="X9" s="15">
        <v>70.0</v>
      </c>
      <c r="Y9" s="17">
        <v>86.0</v>
      </c>
      <c r="Z9" s="17">
        <v>344.0</v>
      </c>
      <c r="AA9" s="15">
        <v>51.6</v>
      </c>
      <c r="AB9" s="16"/>
      <c r="AC9" s="15">
        <f>IF(OR(L9="", AB9=""), 0,
  IF(L9="Découverte", KPI!$F$2,
    IF(L9="Essentiel", KPI!$F$3,
      IF(L9="Premium", KPI!$F$4, 0)
    )
  )
)</f>
        <v>0</v>
      </c>
      <c r="AD9" s="15">
        <f t="array" ref="AD9">IF(F9="", "", 
  (T9 / 1.21) 
  - IF(L9="Découverte", KPI!$C$2, 
      IF(L9="Essentiel", KPI!$C$3, 
        IF(L9="Premium", KPI!$C$4, 0)
      )
    ) 
  - N(X9) 
  - N(AA9) 
  - N(AC9)
  - IFERROR(INDEX(Stats!$G:$G, MATCH(DATE(YEAR(R9), MONTH(R9), 1), Stats!$A:$A, 0)), 35)
)</f>
        <v>230.238843</v>
      </c>
      <c r="AE9" s="18"/>
      <c r="AF9" s="18"/>
      <c r="AG9" s="15"/>
      <c r="AH9" s="15" t="s">
        <v>82</v>
      </c>
      <c r="AI9" s="15" t="s">
        <v>83</v>
      </c>
      <c r="AJ9" s="15"/>
      <c r="AK9" s="15" t="s">
        <v>76</v>
      </c>
      <c r="AL9" s="19"/>
      <c r="AM9" s="17" t="s">
        <v>84</v>
      </c>
    </row>
    <row r="10">
      <c r="A10" s="9" t="s">
        <v>85</v>
      </c>
      <c r="B10" s="9" t="s">
        <v>86</v>
      </c>
      <c r="C10" s="10" t="s">
        <v>87</v>
      </c>
      <c r="D10" s="11" t="s">
        <v>41</v>
      </c>
      <c r="E10" s="12"/>
      <c r="F10" s="12">
        <v>45759.0</v>
      </c>
      <c r="G10" s="13"/>
      <c r="H10" s="13"/>
      <c r="I10" s="9" t="s">
        <v>88</v>
      </c>
      <c r="J10" s="11"/>
      <c r="K10" s="9"/>
      <c r="L10" s="9" t="s">
        <v>43</v>
      </c>
      <c r="M10" s="15">
        <v>200.0</v>
      </c>
      <c r="N10" s="15">
        <v>110.0</v>
      </c>
      <c r="O10" s="14"/>
      <c r="P10" s="14"/>
      <c r="Q10" s="15"/>
      <c r="R10" s="12"/>
      <c r="S10" s="15"/>
      <c r="T10" s="15">
        <f t="shared" si="2"/>
        <v>310</v>
      </c>
      <c r="U10" s="15">
        <f t="shared" si="3"/>
        <v>310</v>
      </c>
      <c r="V10" s="16" t="s">
        <v>44</v>
      </c>
      <c r="W10" s="17">
        <v>6.0</v>
      </c>
      <c r="X10" s="15">
        <v>70.0</v>
      </c>
      <c r="Y10" s="17">
        <v>95.0</v>
      </c>
      <c r="Z10" s="17">
        <v>380.0</v>
      </c>
      <c r="AA10" s="15">
        <v>57.0</v>
      </c>
      <c r="AB10" s="16"/>
      <c r="AC10" s="15">
        <f>IF(OR(L10="", AB10=""), 0,
  IF(L10="Découverte", KPI!$F$2,
    IF(L10="Essentiel", KPI!$F$3,
      IF(L10="Premium", KPI!$F$4, 0)
    )
  )
)</f>
        <v>0</v>
      </c>
      <c r="AD10" s="15">
        <f t="array" ref="AD10">IF(F10="", "", 
  (T10 / 1.21) 
  - IF(L10="Découverte", KPI!$C$2, 
      IF(L10="Essentiel", KPI!$C$3, 
        IF(L10="Premium", KPI!$C$4, 0)
      )
    ) 
  - N(X10) 
  - N(AA10) 
  - N(AC10)
  - IFERROR(INDEX(Stats!$G:$G, MATCH(DATE(YEAR(R10), MONTH(R10), 1), Stats!$A:$A, 0)), 35)
)</f>
        <v>1.698347107</v>
      </c>
      <c r="AE10" s="18"/>
      <c r="AF10" s="18"/>
      <c r="AG10" s="15"/>
      <c r="AH10" s="15" t="s">
        <v>89</v>
      </c>
      <c r="AI10" s="15" t="s">
        <v>90</v>
      </c>
      <c r="AJ10" s="15"/>
      <c r="AK10" s="15" t="s">
        <v>76</v>
      </c>
      <c r="AL10" s="19"/>
      <c r="AM10" s="17" t="s">
        <v>91</v>
      </c>
    </row>
    <row r="11">
      <c r="A11" s="9" t="s">
        <v>92</v>
      </c>
      <c r="B11" s="9" t="s">
        <v>93</v>
      </c>
      <c r="C11" s="10" t="s">
        <v>94</v>
      </c>
      <c r="D11" s="11" t="s">
        <v>41</v>
      </c>
      <c r="E11" s="12"/>
      <c r="F11" s="12">
        <v>45773.0</v>
      </c>
      <c r="G11" s="13"/>
      <c r="H11" s="13"/>
      <c r="I11" s="9" t="s">
        <v>95</v>
      </c>
      <c r="J11" s="11" t="s">
        <v>65</v>
      </c>
      <c r="K11" s="9"/>
      <c r="L11" s="9" t="s">
        <v>43</v>
      </c>
      <c r="M11" s="15">
        <v>500.0</v>
      </c>
      <c r="N11" s="15">
        <v>100.0</v>
      </c>
      <c r="O11" s="14"/>
      <c r="P11" s="14"/>
      <c r="Q11" s="15"/>
      <c r="R11" s="12"/>
      <c r="S11" s="15"/>
      <c r="T11" s="15">
        <f t="shared" si="2"/>
        <v>600</v>
      </c>
      <c r="U11" s="15">
        <f t="shared" si="3"/>
        <v>600</v>
      </c>
      <c r="V11" s="16" t="s">
        <v>44</v>
      </c>
      <c r="W11" s="17">
        <v>6.0</v>
      </c>
      <c r="X11" s="15">
        <v>70.0</v>
      </c>
      <c r="Y11" s="17">
        <v>91.0</v>
      </c>
      <c r="Z11" s="17">
        <v>364.0</v>
      </c>
      <c r="AA11" s="15">
        <v>54.6</v>
      </c>
      <c r="AB11" s="16"/>
      <c r="AC11" s="15">
        <f>IF(OR(L11="", AB11=""), 0,
  IF(L11="Découverte", KPI!$F$2,
    IF(L11="Essentiel", KPI!$F$3,
      IF(L11="Premium", KPI!$F$4, 0)
    )
  )
)</f>
        <v>0</v>
      </c>
      <c r="AD11" s="15">
        <f t="array" ref="AD11">IF(F11="", "", 
  (T11 / 1.21) 
  - IF(L11="Découverte", KPI!$C$2, 
      IF(L11="Essentiel", KPI!$C$3, 
        IF(L11="Premium", KPI!$C$4, 0)
      )
    ) 
  - N(X11) 
  - N(AA11) 
  - N(AC11)
  - IFERROR(INDEX(Stats!$G:$G, MATCH(DATE(YEAR(R11), MONTH(R11), 1), Stats!$A:$A, 0)), 35)
)</f>
        <v>243.7677686</v>
      </c>
      <c r="AE11" s="18"/>
      <c r="AF11" s="18"/>
      <c r="AG11" s="15"/>
      <c r="AH11" s="15" t="s">
        <v>96</v>
      </c>
      <c r="AI11" s="15" t="s">
        <v>97</v>
      </c>
      <c r="AJ11" s="15"/>
      <c r="AK11" s="15"/>
      <c r="AL11" s="19"/>
      <c r="AM11" s="17" t="s">
        <v>98</v>
      </c>
    </row>
    <row r="12">
      <c r="A12" s="9" t="s">
        <v>99</v>
      </c>
      <c r="B12" s="9" t="s">
        <v>100</v>
      </c>
      <c r="C12" s="10" t="s">
        <v>101</v>
      </c>
      <c r="D12" s="11" t="s">
        <v>41</v>
      </c>
      <c r="E12" s="12"/>
      <c r="F12" s="12">
        <v>45780.0</v>
      </c>
      <c r="G12" s="13"/>
      <c r="H12" s="13"/>
      <c r="I12" s="9" t="s">
        <v>102</v>
      </c>
      <c r="J12" s="11" t="s">
        <v>65</v>
      </c>
      <c r="K12" s="9"/>
      <c r="L12" s="9" t="s">
        <v>43</v>
      </c>
      <c r="M12" s="15">
        <v>500.0</v>
      </c>
      <c r="N12" s="15"/>
      <c r="O12" s="14"/>
      <c r="P12" s="14"/>
      <c r="Q12" s="15"/>
      <c r="R12" s="12"/>
      <c r="S12" s="15"/>
      <c r="T12" s="15">
        <f t="shared" si="2"/>
        <v>500</v>
      </c>
      <c r="U12" s="15">
        <f t="shared" si="3"/>
        <v>500</v>
      </c>
      <c r="V12" s="16" t="s">
        <v>44</v>
      </c>
      <c r="W12" s="17">
        <v>2.0</v>
      </c>
      <c r="X12" s="15">
        <v>70.0</v>
      </c>
      <c r="Y12" s="17">
        <v>8.0</v>
      </c>
      <c r="Z12" s="17">
        <v>32.0</v>
      </c>
      <c r="AA12" s="15">
        <v>4.8</v>
      </c>
      <c r="AB12" s="16"/>
      <c r="AC12" s="15">
        <f>IF(OR(L12="", AB12=""), 0,
  IF(L12="Découverte", KPI!$F$2,
    IF(L12="Essentiel", KPI!$F$3,
      IF(L12="Premium", KPI!$F$4, 0)
    )
  )
)</f>
        <v>0</v>
      </c>
      <c r="AD12" s="15">
        <f t="array" ref="AD12">IF(F12="", "", 
  (T12 / 1.21) 
  - IF(L12="Découverte", KPI!$C$2, 
      IF(L12="Essentiel", KPI!$C$3, 
        IF(L12="Premium", KPI!$C$4, 0)
      )
    ) 
  - N(X12) 
  - N(AA12) 
  - N(AC12)
  - IFERROR(INDEX(Stats!$G:$G, MATCH(DATE(YEAR(R12), MONTH(R12), 1), Stats!$A:$A, 0)), 35)
)</f>
        <v>210.9231405</v>
      </c>
      <c r="AE12" s="18"/>
      <c r="AF12" s="18"/>
      <c r="AG12" s="15"/>
      <c r="AH12" s="15" t="s">
        <v>103</v>
      </c>
      <c r="AI12" s="15" t="s">
        <v>104</v>
      </c>
      <c r="AJ12" s="15"/>
      <c r="AK12" s="15"/>
      <c r="AL12" s="19"/>
      <c r="AM12" s="17" t="s">
        <v>105</v>
      </c>
    </row>
    <row r="13">
      <c r="A13" s="9" t="s">
        <v>106</v>
      </c>
      <c r="B13" s="9" t="s">
        <v>107</v>
      </c>
      <c r="C13" s="10" t="s">
        <v>108</v>
      </c>
      <c r="D13" s="11" t="s">
        <v>41</v>
      </c>
      <c r="E13" s="12"/>
      <c r="F13" s="12">
        <v>45780.0</v>
      </c>
      <c r="G13" s="13"/>
      <c r="H13" s="13"/>
      <c r="I13" s="9" t="s">
        <v>109</v>
      </c>
      <c r="J13" s="11" t="s">
        <v>65</v>
      </c>
      <c r="K13" s="9"/>
      <c r="L13" s="9" t="s">
        <v>43</v>
      </c>
      <c r="M13" s="15">
        <v>500.0</v>
      </c>
      <c r="N13" s="15">
        <v>35.0</v>
      </c>
      <c r="O13" s="14"/>
      <c r="P13" s="14"/>
      <c r="Q13" s="15"/>
      <c r="R13" s="12"/>
      <c r="S13" s="15"/>
      <c r="T13" s="15">
        <f t="shared" si="2"/>
        <v>535</v>
      </c>
      <c r="U13" s="15">
        <f t="shared" si="3"/>
        <v>535</v>
      </c>
      <c r="V13" s="16" t="s">
        <v>44</v>
      </c>
      <c r="W13" s="17">
        <v>3.0</v>
      </c>
      <c r="X13" s="15">
        <v>70.0</v>
      </c>
      <c r="Y13" s="17">
        <v>27.0</v>
      </c>
      <c r="Z13" s="17">
        <v>108.0</v>
      </c>
      <c r="AA13" s="15">
        <v>16.2</v>
      </c>
      <c r="AB13" s="16"/>
      <c r="AC13" s="15">
        <f>IF(OR(L13="", AB13=""), 0,
  IF(L13="Découverte", KPI!$F$2,
    IF(L13="Essentiel", KPI!$F$3,
      IF(L13="Premium", KPI!$F$4, 0)
    )
  )
)</f>
        <v>0</v>
      </c>
      <c r="AD13" s="15">
        <f t="array" ref="AD13">IF(F13="", "", 
  (T13 / 1.21) 
  - IF(L13="Découverte", KPI!$C$2, 
      IF(L13="Essentiel", KPI!$C$3, 
        IF(L13="Premium", KPI!$C$4, 0)
      )
    ) 
  - N(X13) 
  - N(AA13) 
  - N(AC13)
  - IFERROR(INDEX(Stats!$G:$G, MATCH(DATE(YEAR(R13), MONTH(R13), 1), Stats!$A:$A, 0)), 35)
)</f>
        <v>228.4487603</v>
      </c>
      <c r="AE13" s="18"/>
      <c r="AF13" s="18"/>
      <c r="AG13" s="15"/>
      <c r="AH13" s="15" t="s">
        <v>110</v>
      </c>
      <c r="AI13" s="15" t="s">
        <v>75</v>
      </c>
      <c r="AJ13" s="15"/>
      <c r="AK13" s="15"/>
      <c r="AL13" s="19" t="s">
        <v>111</v>
      </c>
      <c r="AM13" s="17" t="s">
        <v>112</v>
      </c>
    </row>
    <row r="14">
      <c r="A14" s="9" t="s">
        <v>113</v>
      </c>
      <c r="B14" s="9" t="s">
        <v>114</v>
      </c>
      <c r="C14" s="10" t="s">
        <v>115</v>
      </c>
      <c r="D14" s="11" t="s">
        <v>41</v>
      </c>
      <c r="E14" s="12"/>
      <c r="F14" s="12">
        <v>45787.0</v>
      </c>
      <c r="G14" s="13"/>
      <c r="H14" s="13"/>
      <c r="I14" s="9" t="s">
        <v>116</v>
      </c>
      <c r="J14" s="11" t="s">
        <v>65</v>
      </c>
      <c r="K14" s="9"/>
      <c r="L14" s="9" t="s">
        <v>43</v>
      </c>
      <c r="M14" s="15">
        <v>500.0</v>
      </c>
      <c r="N14" s="15">
        <v>50.0</v>
      </c>
      <c r="O14" s="14"/>
      <c r="P14" s="14"/>
      <c r="Q14" s="15"/>
      <c r="R14" s="12"/>
      <c r="S14" s="15"/>
      <c r="T14" s="15">
        <f t="shared" si="2"/>
        <v>550</v>
      </c>
      <c r="U14" s="15">
        <f t="shared" si="3"/>
        <v>550</v>
      </c>
      <c r="V14" s="16" t="s">
        <v>44</v>
      </c>
      <c r="W14" s="17">
        <v>3.0</v>
      </c>
      <c r="X14" s="15">
        <v>70.0</v>
      </c>
      <c r="Y14" s="17">
        <v>30.0</v>
      </c>
      <c r="Z14" s="17">
        <v>120.0</v>
      </c>
      <c r="AA14" s="15">
        <v>18.0</v>
      </c>
      <c r="AB14" s="16"/>
      <c r="AC14" s="15">
        <f>IF(OR(L14="", AB14=""), 0,
  IF(L14="Découverte", KPI!$F$2,
    IF(L14="Essentiel", KPI!$F$3,
      IF(L14="Premium", KPI!$F$4, 0)
    )
  )
)</f>
        <v>0</v>
      </c>
      <c r="AD14" s="15">
        <f t="array" ref="AD14">IF(F14="", "", 
  (T14 / 1.21) 
  - IF(L14="Découverte", KPI!$C$2, 
      IF(L14="Essentiel", KPI!$C$3, 
        IF(L14="Premium", KPI!$C$4, 0)
      )
    ) 
  - N(X14) 
  - N(AA14) 
  - N(AC14)
  - IFERROR(INDEX(Stats!$G:$G, MATCH(DATE(YEAR(R14), MONTH(R14), 1), Stats!$A:$A, 0)), 35)
)</f>
        <v>239.0454545</v>
      </c>
      <c r="AE14" s="18"/>
      <c r="AF14" s="18"/>
      <c r="AG14" s="15"/>
      <c r="AH14" s="15" t="s">
        <v>117</v>
      </c>
      <c r="AI14" s="15" t="s">
        <v>118</v>
      </c>
      <c r="AJ14" s="15"/>
      <c r="AK14" s="15"/>
      <c r="AL14" s="19"/>
      <c r="AM14" s="17" t="s">
        <v>119</v>
      </c>
    </row>
    <row r="15">
      <c r="A15" s="9" t="s">
        <v>120</v>
      </c>
      <c r="B15" s="9" t="s">
        <v>121</v>
      </c>
      <c r="C15" s="10" t="s">
        <v>122</v>
      </c>
      <c r="D15" s="11" t="s">
        <v>41</v>
      </c>
      <c r="E15" s="12"/>
      <c r="F15" s="12">
        <v>45787.0</v>
      </c>
      <c r="G15" s="13"/>
      <c r="H15" s="13"/>
      <c r="I15" s="9" t="s">
        <v>123</v>
      </c>
      <c r="J15" s="11" t="s">
        <v>65</v>
      </c>
      <c r="K15" s="9"/>
      <c r="L15" s="9" t="s">
        <v>43</v>
      </c>
      <c r="M15" s="15">
        <v>500.0</v>
      </c>
      <c r="N15" s="15">
        <v>80.0</v>
      </c>
      <c r="O15" s="14"/>
      <c r="P15" s="14"/>
      <c r="Q15" s="15"/>
      <c r="R15" s="12"/>
      <c r="S15" s="15"/>
      <c r="T15" s="15">
        <f t="shared" si="2"/>
        <v>580</v>
      </c>
      <c r="U15" s="15">
        <f t="shared" si="3"/>
        <v>580</v>
      </c>
      <c r="V15" s="16" t="s">
        <v>44</v>
      </c>
      <c r="W15" s="17">
        <v>4.0</v>
      </c>
      <c r="X15" s="15">
        <v>70.0</v>
      </c>
      <c r="Y15" s="17">
        <v>55.0</v>
      </c>
      <c r="Z15" s="17">
        <v>220.0</v>
      </c>
      <c r="AA15" s="15">
        <v>33.0</v>
      </c>
      <c r="AB15" s="16"/>
      <c r="AC15" s="15">
        <f>IF(OR(L15="", AB15=""), 0,
  IF(L15="Découverte", KPI!$F$2,
    IF(L15="Essentiel", KPI!$F$3,
      IF(L15="Premium", KPI!$F$4, 0)
    )
  )
)</f>
        <v>0</v>
      </c>
      <c r="AD15" s="15">
        <f t="array" ref="AD15">IF(F15="", "", 
  (T15 / 1.21) 
  - IF(L15="Découverte", KPI!$C$2, 
      IF(L15="Essentiel", KPI!$C$3, 
        IF(L15="Premium", KPI!$C$4, 0)
      )
    ) 
  - N(X15) 
  - N(AA15) 
  - N(AC15)
  - IFERROR(INDEX(Stats!$G:$G, MATCH(DATE(YEAR(R15), MONTH(R15), 1), Stats!$A:$A, 0)), 35)
)</f>
        <v>248.838843</v>
      </c>
      <c r="AE15" s="18"/>
      <c r="AF15" s="18"/>
      <c r="AG15" s="15"/>
      <c r="AH15" s="15" t="s">
        <v>124</v>
      </c>
      <c r="AI15" s="15" t="s">
        <v>104</v>
      </c>
      <c r="AJ15" s="15"/>
      <c r="AK15" s="15"/>
      <c r="AL15" s="19" t="s">
        <v>125</v>
      </c>
      <c r="AM15" s="17" t="s">
        <v>126</v>
      </c>
    </row>
    <row r="16">
      <c r="A16" s="9" t="s">
        <v>127</v>
      </c>
      <c r="B16" s="9" t="s">
        <v>128</v>
      </c>
      <c r="C16" s="10" t="s">
        <v>129</v>
      </c>
      <c r="D16" s="11" t="s">
        <v>41</v>
      </c>
      <c r="E16" s="12"/>
      <c r="F16" s="12">
        <v>45801.0</v>
      </c>
      <c r="G16" s="13"/>
      <c r="H16" s="13"/>
      <c r="I16" s="9" t="s">
        <v>130</v>
      </c>
      <c r="J16" s="11" t="s">
        <v>65</v>
      </c>
      <c r="K16" s="9"/>
      <c r="L16" s="9" t="s">
        <v>50</v>
      </c>
      <c r="M16" s="15">
        <v>450.0</v>
      </c>
      <c r="N16" s="15">
        <v>50.0</v>
      </c>
      <c r="O16" s="14"/>
      <c r="P16" s="14"/>
      <c r="Q16" s="15"/>
      <c r="R16" s="12"/>
      <c r="S16" s="15"/>
      <c r="T16" s="15">
        <f t="shared" si="2"/>
        <v>500</v>
      </c>
      <c r="U16" s="15">
        <f t="shared" si="3"/>
        <v>500</v>
      </c>
      <c r="V16" s="16" t="s">
        <v>44</v>
      </c>
      <c r="W16" s="17">
        <v>3.0</v>
      </c>
      <c r="X16" s="15">
        <v>70.0</v>
      </c>
      <c r="Y16" s="17">
        <v>15.0</v>
      </c>
      <c r="Z16" s="17">
        <v>60.0</v>
      </c>
      <c r="AA16" s="15">
        <v>9.0</v>
      </c>
      <c r="AB16" s="16"/>
      <c r="AC16" s="15">
        <f>IF(OR(L16="", AB16=""), 0,
  IF(L16="Découverte", KPI!$F$2,
    IF(L16="Essentiel", KPI!$F$3,
      IF(L16="Premium", KPI!$F$4, 0)
    )
  )
)</f>
        <v>0</v>
      </c>
      <c r="AD16" s="15">
        <f t="array" ref="AD16">IF(F16="", "", 
  (T16 / 1.21) 
  - IF(L16="Découverte", KPI!$C$2, 
      IF(L16="Essentiel", KPI!$C$3, 
        IF(L16="Premium", KPI!$C$4, 0)
      )
    ) 
  - N(X16) 
  - N(AA16) 
  - N(AC16)
  - IFERROR(INDEX(Stats!$G:$G, MATCH(DATE(YEAR(R16), MONTH(R16), 1), Stats!$A:$A, 0)), 35)
)</f>
        <v>252.9731405</v>
      </c>
      <c r="AE16" s="18"/>
      <c r="AF16" s="18"/>
      <c r="AG16" s="15"/>
      <c r="AH16" s="15" t="s">
        <v>131</v>
      </c>
      <c r="AI16" s="15" t="s">
        <v>68</v>
      </c>
      <c r="AJ16" s="15"/>
      <c r="AK16" s="15"/>
      <c r="AL16" s="19" t="s">
        <v>132</v>
      </c>
      <c r="AM16" s="17" t="s">
        <v>133</v>
      </c>
    </row>
    <row r="17">
      <c r="A17" s="9" t="s">
        <v>134</v>
      </c>
      <c r="B17" s="9" t="s">
        <v>135</v>
      </c>
      <c r="C17" s="10" t="s">
        <v>136</v>
      </c>
      <c r="D17" s="11" t="s">
        <v>41</v>
      </c>
      <c r="E17" s="12"/>
      <c r="F17" s="12">
        <v>45801.0</v>
      </c>
      <c r="G17" s="13"/>
      <c r="H17" s="13"/>
      <c r="I17" s="9" t="s">
        <v>137</v>
      </c>
      <c r="J17" s="11" t="s">
        <v>65</v>
      </c>
      <c r="K17" s="9"/>
      <c r="L17" s="9" t="s">
        <v>50</v>
      </c>
      <c r="M17" s="15">
        <v>450.0</v>
      </c>
      <c r="N17" s="15">
        <v>50.0</v>
      </c>
      <c r="O17" s="14"/>
      <c r="P17" s="14"/>
      <c r="Q17" s="15"/>
      <c r="R17" s="12"/>
      <c r="S17" s="15"/>
      <c r="T17" s="15">
        <f t="shared" si="2"/>
        <v>500</v>
      </c>
      <c r="U17" s="15">
        <f t="shared" si="3"/>
        <v>500</v>
      </c>
      <c r="V17" s="16" t="s">
        <v>44</v>
      </c>
      <c r="W17" s="17">
        <v>4.0</v>
      </c>
      <c r="X17" s="15">
        <v>70.0</v>
      </c>
      <c r="Y17" s="17">
        <v>52.0</v>
      </c>
      <c r="Z17" s="17">
        <v>208.0</v>
      </c>
      <c r="AA17" s="15">
        <v>31.2</v>
      </c>
      <c r="AB17" s="16"/>
      <c r="AC17" s="15">
        <f>IF(OR(L17="", AB17=""), 0,
  IF(L17="Découverte", KPI!$F$2,
    IF(L17="Essentiel", KPI!$F$3,
      IF(L17="Premium", KPI!$F$4, 0)
    )
  )
)</f>
        <v>0</v>
      </c>
      <c r="AD17" s="15">
        <f t="array" ref="AD17">IF(F17="", "", 
  (T17 / 1.21) 
  - IF(L17="Découverte", KPI!$C$2, 
      IF(L17="Essentiel", KPI!$C$3, 
        IF(L17="Premium", KPI!$C$4, 0)
      )
    ) 
  - N(X17) 
  - N(AA17) 
  - N(AC17)
  - IFERROR(INDEX(Stats!$G:$G, MATCH(DATE(YEAR(R17), MONTH(R17), 1), Stats!$A:$A, 0)), 35)
)</f>
        <v>230.7731405</v>
      </c>
      <c r="AE17" s="18"/>
      <c r="AF17" s="18"/>
      <c r="AG17" s="15"/>
      <c r="AH17" s="15" t="s">
        <v>138</v>
      </c>
      <c r="AI17" s="15" t="s">
        <v>139</v>
      </c>
      <c r="AJ17" s="15"/>
      <c r="AK17" s="15"/>
      <c r="AL17" s="19" t="s">
        <v>140</v>
      </c>
      <c r="AM17" s="17" t="s">
        <v>141</v>
      </c>
    </row>
    <row r="18">
      <c r="A18" s="9" t="s">
        <v>142</v>
      </c>
      <c r="B18" s="9" t="s">
        <v>143</v>
      </c>
      <c r="C18" s="10" t="s">
        <v>144</v>
      </c>
      <c r="D18" s="11" t="s">
        <v>41</v>
      </c>
      <c r="E18" s="12"/>
      <c r="F18" s="12">
        <v>45801.0</v>
      </c>
      <c r="G18" s="13"/>
      <c r="H18" s="13"/>
      <c r="I18" s="9" t="s">
        <v>145</v>
      </c>
      <c r="J18" s="11" t="s">
        <v>65</v>
      </c>
      <c r="K18" s="9"/>
      <c r="L18" s="9" t="s">
        <v>43</v>
      </c>
      <c r="M18" s="15">
        <v>500.0</v>
      </c>
      <c r="N18" s="15">
        <v>50.0</v>
      </c>
      <c r="O18" s="14"/>
      <c r="P18" s="14"/>
      <c r="Q18" s="15"/>
      <c r="R18" s="12"/>
      <c r="S18" s="15"/>
      <c r="T18" s="15">
        <f t="shared" si="2"/>
        <v>550</v>
      </c>
      <c r="U18" s="15">
        <f t="shared" si="3"/>
        <v>550</v>
      </c>
      <c r="V18" s="16" t="s">
        <v>44</v>
      </c>
      <c r="W18" s="17">
        <v>4.0</v>
      </c>
      <c r="X18" s="15">
        <v>70.0</v>
      </c>
      <c r="Y18" s="17">
        <v>32.0</v>
      </c>
      <c r="Z18" s="17">
        <v>128.0</v>
      </c>
      <c r="AA18" s="15">
        <v>19.2</v>
      </c>
      <c r="AB18" s="16"/>
      <c r="AC18" s="15">
        <f>IF(OR(L18="", AB18=""), 0,
  IF(L18="Découverte", KPI!$F$2,
    IF(L18="Essentiel", KPI!$F$3,
      IF(L18="Premium", KPI!$F$4, 0)
    )
  )
)</f>
        <v>0</v>
      </c>
      <c r="AD18" s="15">
        <f t="array" ref="AD18">IF(F18="", "", 
  (T18 / 1.21) 
  - IF(L18="Découverte", KPI!$C$2, 
      IF(L18="Essentiel", KPI!$C$3, 
        IF(L18="Premium", KPI!$C$4, 0)
      )
    ) 
  - N(X18) 
  - N(AA18) 
  - N(AC18)
  - IFERROR(INDEX(Stats!$G:$G, MATCH(DATE(YEAR(R18), MONTH(R18), 1), Stats!$A:$A, 0)), 35)
)</f>
        <v>237.8454545</v>
      </c>
      <c r="AE18" s="18"/>
      <c r="AF18" s="18"/>
      <c r="AG18" s="15"/>
      <c r="AH18" s="15" t="s">
        <v>146</v>
      </c>
      <c r="AI18" s="15" t="s">
        <v>147</v>
      </c>
      <c r="AJ18" s="15"/>
      <c r="AK18" s="15"/>
      <c r="AL18" s="19" t="s">
        <v>148</v>
      </c>
      <c r="AM18" s="17" t="s">
        <v>149</v>
      </c>
    </row>
    <row r="19">
      <c r="A19" s="9" t="s">
        <v>150</v>
      </c>
      <c r="B19" s="9" t="s">
        <v>151</v>
      </c>
      <c r="C19" s="10" t="s">
        <v>152</v>
      </c>
      <c r="D19" s="11" t="s">
        <v>41</v>
      </c>
      <c r="E19" s="12"/>
      <c r="F19" s="12">
        <v>45822.0</v>
      </c>
      <c r="G19" s="13"/>
      <c r="H19" s="13"/>
      <c r="I19" s="9" t="s">
        <v>153</v>
      </c>
      <c r="J19" s="11" t="s">
        <v>65</v>
      </c>
      <c r="K19" s="9"/>
      <c r="L19" s="9" t="s">
        <v>50</v>
      </c>
      <c r="M19" s="15">
        <v>450.0</v>
      </c>
      <c r="N19" s="15">
        <v>50.0</v>
      </c>
      <c r="O19" s="14"/>
      <c r="P19" s="14"/>
      <c r="Q19" s="15"/>
      <c r="R19" s="12"/>
      <c r="S19" s="15"/>
      <c r="T19" s="15">
        <f t="shared" si="2"/>
        <v>500</v>
      </c>
      <c r="U19" s="15">
        <f t="shared" si="3"/>
        <v>500</v>
      </c>
      <c r="V19" s="16" t="s">
        <v>44</v>
      </c>
      <c r="W19" s="17">
        <v>4.0</v>
      </c>
      <c r="X19" s="15">
        <v>70.0</v>
      </c>
      <c r="Y19" s="17">
        <v>53.0</v>
      </c>
      <c r="Z19" s="17">
        <v>212.0</v>
      </c>
      <c r="AA19" s="15">
        <v>31.8</v>
      </c>
      <c r="AB19" s="16"/>
      <c r="AC19" s="15">
        <f>IF(OR(L19="", AB19=""), 0,
  IF(L19="Découverte", KPI!$F$2,
    IF(L19="Essentiel", KPI!$F$3,
      IF(L19="Premium", KPI!$F$4, 0)
    )
  )
)</f>
        <v>0</v>
      </c>
      <c r="AD19" s="15">
        <f t="array" ref="AD19">IF(F19="", "", 
  (T19 / 1.21) 
  - IF(L19="Découverte", KPI!$C$2, 
      IF(L19="Essentiel", KPI!$C$3, 
        IF(L19="Premium", KPI!$C$4, 0)
      )
    ) 
  - N(X19) 
  - N(AA19) 
  - N(AC19)
  - IFERROR(INDEX(Stats!$G:$G, MATCH(DATE(YEAR(R19), MONTH(R19), 1), Stats!$A:$A, 0)), 35)
)</f>
        <v>230.1731405</v>
      </c>
      <c r="AE19" s="18"/>
      <c r="AF19" s="18"/>
      <c r="AG19" s="15"/>
      <c r="AH19" s="15" t="s">
        <v>154</v>
      </c>
      <c r="AI19" s="15" t="s">
        <v>75</v>
      </c>
      <c r="AJ19" s="15"/>
      <c r="AK19" s="15"/>
      <c r="AL19" s="19" t="s">
        <v>155</v>
      </c>
      <c r="AM19" s="17" t="s">
        <v>156</v>
      </c>
    </row>
    <row r="20">
      <c r="A20" s="9" t="s">
        <v>157</v>
      </c>
      <c r="B20" s="9"/>
      <c r="C20" s="10"/>
      <c r="D20" s="11" t="s">
        <v>41</v>
      </c>
      <c r="E20" s="12"/>
      <c r="F20" s="12">
        <v>45828.0</v>
      </c>
      <c r="G20" s="13"/>
      <c r="H20" s="13"/>
      <c r="I20" s="9"/>
      <c r="J20" s="11" t="s">
        <v>42</v>
      </c>
      <c r="K20" s="9"/>
      <c r="L20" s="9" t="s">
        <v>43</v>
      </c>
      <c r="M20" s="15">
        <v>500.0</v>
      </c>
      <c r="N20" s="15"/>
      <c r="O20" s="14"/>
      <c r="P20" s="14"/>
      <c r="Q20" s="15"/>
      <c r="R20" s="12"/>
      <c r="S20" s="15"/>
      <c r="T20" s="15">
        <f t="shared" si="2"/>
        <v>500</v>
      </c>
      <c r="U20" s="15">
        <f t="shared" si="3"/>
        <v>500</v>
      </c>
      <c r="V20" s="16" t="s">
        <v>44</v>
      </c>
      <c r="W20" s="17"/>
      <c r="X20" s="15">
        <v>70.0</v>
      </c>
      <c r="Y20" s="17"/>
      <c r="Z20" s="17"/>
      <c r="AA20" s="15" t="str">
        <f t="shared" ref="AA20:AA21" si="4">IF(Z20=0,"", Z20 * 0.15)</f>
        <v/>
      </c>
      <c r="AB20" s="16"/>
      <c r="AC20" s="15">
        <f>IF(OR(L20="", AB20=""), 0,
  IF(L20="Découverte", KPI!$F$2,
    IF(L20="Essentiel", KPI!$F$3,
      IF(L20="Premium", KPI!$F$4, 0)
    )
  )
)</f>
        <v>0</v>
      </c>
      <c r="AD20" s="15">
        <f t="array" ref="AD20">IF(F20="", "", 
  (T20 / 1.21) 
  - IF(L20="Découverte", KPI!$C$2, 
      IF(L20="Essentiel", KPI!$C$3, 
        IF(L20="Premium", KPI!$C$4, 0)
      )
    ) 
  - N(X20) 
  - N(AA20) 
  - N(AC20)
  - IFERROR(INDEX(Stats!$G:$G, MATCH(DATE(YEAR(R20), MONTH(R20), 1), Stats!$A:$A, 0)), 35)
)</f>
        <v>215.7231405</v>
      </c>
      <c r="AE20" s="18"/>
      <c r="AF20" s="18"/>
      <c r="AG20" s="15"/>
      <c r="AH20" s="15" t="s">
        <v>158</v>
      </c>
      <c r="AI20" s="15" t="s">
        <v>159</v>
      </c>
      <c r="AJ20" s="15"/>
      <c r="AK20" s="15"/>
      <c r="AL20" s="19"/>
      <c r="AM20" s="17"/>
    </row>
    <row r="21">
      <c r="A21" s="9" t="s">
        <v>157</v>
      </c>
      <c r="B21" s="9"/>
      <c r="C21" s="10"/>
      <c r="D21" s="11" t="s">
        <v>41</v>
      </c>
      <c r="E21" s="12"/>
      <c r="F21" s="12">
        <v>45829.0</v>
      </c>
      <c r="G21" s="13"/>
      <c r="H21" s="13"/>
      <c r="I21" s="9"/>
      <c r="J21" s="11" t="s">
        <v>42</v>
      </c>
      <c r="K21" s="9"/>
      <c r="L21" s="9" t="s">
        <v>43</v>
      </c>
      <c r="M21" s="15">
        <v>500.0</v>
      </c>
      <c r="N21" s="15"/>
      <c r="O21" s="14"/>
      <c r="P21" s="14"/>
      <c r="Q21" s="15"/>
      <c r="R21" s="12"/>
      <c r="S21" s="15"/>
      <c r="T21" s="15">
        <f t="shared" si="2"/>
        <v>500</v>
      </c>
      <c r="U21" s="15">
        <f t="shared" si="3"/>
        <v>500</v>
      </c>
      <c r="V21" s="16" t="s">
        <v>44</v>
      </c>
      <c r="W21" s="17"/>
      <c r="X21" s="15">
        <v>70.0</v>
      </c>
      <c r="Y21" s="17"/>
      <c r="Z21" s="17"/>
      <c r="AA21" s="15" t="str">
        <f t="shared" si="4"/>
        <v/>
      </c>
      <c r="AB21" s="16"/>
      <c r="AC21" s="15">
        <f>IF(OR(L21="", AB21=""), 0,
  IF(L21="Découverte", KPI!$F$2,
    IF(L21="Essentiel", KPI!$F$3,
      IF(L21="Premium", KPI!$F$4, 0)
    )
  )
)</f>
        <v>0</v>
      </c>
      <c r="AD21" s="15">
        <f t="array" ref="AD21">IF(F21="", "", 
  (T21 / 1.21) 
  - IF(L21="Découverte", KPI!$C$2, 
      IF(L21="Essentiel", KPI!$C$3, 
        IF(L21="Premium", KPI!$C$4, 0)
      )
    ) 
  - N(X21) 
  - N(AA21) 
  - N(AC21)
  - IFERROR(INDEX(Stats!$G:$G, MATCH(DATE(YEAR(R21), MONTH(R21), 1), Stats!$A:$A, 0)), 35)
)</f>
        <v>215.7231405</v>
      </c>
      <c r="AE21" s="18"/>
      <c r="AF21" s="18"/>
      <c r="AG21" s="15"/>
      <c r="AH21" s="15" t="s">
        <v>160</v>
      </c>
      <c r="AI21" s="15" t="s">
        <v>159</v>
      </c>
      <c r="AJ21" s="15"/>
      <c r="AK21" s="15"/>
      <c r="AL21" s="19"/>
      <c r="AM21" s="17"/>
    </row>
    <row r="22">
      <c r="A22" s="9" t="s">
        <v>161</v>
      </c>
      <c r="B22" s="9" t="s">
        <v>162</v>
      </c>
      <c r="C22" s="10" t="s">
        <v>163</v>
      </c>
      <c r="D22" s="11" t="s">
        <v>41</v>
      </c>
      <c r="E22" s="12"/>
      <c r="F22" s="12">
        <v>45832.0</v>
      </c>
      <c r="G22" s="13"/>
      <c r="H22" s="13"/>
      <c r="I22" s="9" t="s">
        <v>164</v>
      </c>
      <c r="J22" s="11" t="s">
        <v>65</v>
      </c>
      <c r="K22" s="9"/>
      <c r="L22" s="9" t="s">
        <v>66</v>
      </c>
      <c r="M22" s="15">
        <v>350.0</v>
      </c>
      <c r="N22" s="15">
        <v>50.0</v>
      </c>
      <c r="O22" s="14"/>
      <c r="P22" s="14"/>
      <c r="Q22" s="15"/>
      <c r="R22" s="12"/>
      <c r="S22" s="15"/>
      <c r="T22" s="15">
        <f t="shared" si="2"/>
        <v>400</v>
      </c>
      <c r="U22" s="15">
        <f t="shared" si="3"/>
        <v>400</v>
      </c>
      <c r="V22" s="16" t="s">
        <v>44</v>
      </c>
      <c r="W22" s="17">
        <v>3.0</v>
      </c>
      <c r="X22" s="15">
        <v>70.0</v>
      </c>
      <c r="Y22" s="17">
        <v>15.0</v>
      </c>
      <c r="Z22" s="17">
        <v>60.0</v>
      </c>
      <c r="AA22" s="15">
        <v>9.0</v>
      </c>
      <c r="AB22" s="16"/>
      <c r="AC22" s="15">
        <f>IF(OR(L22="", AB22=""), 0,
  IF(L22="Découverte", KPI!$F$2,
    IF(L22="Essentiel", KPI!$F$3,
      IF(L22="Premium", KPI!$F$4, 0)
    )
  )
)</f>
        <v>0</v>
      </c>
      <c r="AD22" s="15">
        <f t="array" ref="AD22">IF(F22="", "", 
  (T22 / 1.21) 
  - IF(L22="Découverte", KPI!$C$2, 
      IF(L22="Essentiel", KPI!$C$3, 
        IF(L22="Premium", KPI!$C$4, 0)
      )
    ) 
  - N(X22) 
  - N(AA22) 
  - N(AC22)
  - IFERROR(INDEX(Stats!$G:$G, MATCH(DATE(YEAR(R22), MONTH(R22), 1), Stats!$A:$A, 0)), 35)
)</f>
        <v>193.4585124</v>
      </c>
      <c r="AE22" s="18"/>
      <c r="AF22" s="18"/>
      <c r="AG22" s="15"/>
      <c r="AH22" s="15" t="s">
        <v>165</v>
      </c>
      <c r="AI22" s="15" t="s">
        <v>166</v>
      </c>
      <c r="AJ22" s="15"/>
      <c r="AK22" s="15"/>
      <c r="AL22" s="19"/>
      <c r="AM22" s="17" t="s">
        <v>167</v>
      </c>
    </row>
    <row r="23">
      <c r="A23" s="9" t="s">
        <v>168</v>
      </c>
      <c r="B23" s="9" t="s">
        <v>169</v>
      </c>
      <c r="C23" s="10" t="s">
        <v>170</v>
      </c>
      <c r="D23" s="11" t="s">
        <v>41</v>
      </c>
      <c r="E23" s="12"/>
      <c r="F23" s="12">
        <v>45833.0</v>
      </c>
      <c r="G23" s="13"/>
      <c r="H23" s="13"/>
      <c r="I23" s="9" t="s">
        <v>171</v>
      </c>
      <c r="J23" s="11" t="s">
        <v>65</v>
      </c>
      <c r="K23" s="9"/>
      <c r="L23" s="9" t="s">
        <v>43</v>
      </c>
      <c r="M23" s="15">
        <v>400.0</v>
      </c>
      <c r="N23" s="15"/>
      <c r="O23" s="14"/>
      <c r="P23" s="14"/>
      <c r="Q23" s="15"/>
      <c r="R23" s="12"/>
      <c r="S23" s="15"/>
      <c r="T23" s="15">
        <f t="shared" si="2"/>
        <v>400</v>
      </c>
      <c r="U23" s="15">
        <f t="shared" si="3"/>
        <v>400</v>
      </c>
      <c r="V23" s="16" t="s">
        <v>44</v>
      </c>
      <c r="W23" s="17">
        <v>3.5</v>
      </c>
      <c r="X23" s="15">
        <v>70.0</v>
      </c>
      <c r="Y23" s="17">
        <v>30.0</v>
      </c>
      <c r="Z23" s="17">
        <v>120.0</v>
      </c>
      <c r="AA23" s="15">
        <v>18.0</v>
      </c>
      <c r="AB23" s="16"/>
      <c r="AC23" s="15">
        <f>IF(OR(L23="", AB23=""), 0,
  IF(L23="Découverte", KPI!$F$2,
    IF(L23="Essentiel", KPI!$F$3,
      IF(L23="Premium", KPI!$F$4, 0)
    )
  )
)</f>
        <v>0</v>
      </c>
      <c r="AD23" s="15">
        <f t="array" ref="AD23">IF(F23="", "", 
  (T23 / 1.21) 
  - IF(L23="Découverte", KPI!$C$2, 
      IF(L23="Essentiel", KPI!$C$3, 
        IF(L23="Premium", KPI!$C$4, 0)
      )
    ) 
  - N(X23) 
  - N(AA23) 
  - N(AC23)
  - IFERROR(INDEX(Stats!$G:$G, MATCH(DATE(YEAR(R23), MONTH(R23), 1), Stats!$A:$A, 0)), 35)
)</f>
        <v>115.0785124</v>
      </c>
      <c r="AE23" s="18"/>
      <c r="AF23" s="18"/>
      <c r="AG23" s="15"/>
      <c r="AH23" s="15" t="s">
        <v>172</v>
      </c>
      <c r="AI23" s="15" t="s">
        <v>166</v>
      </c>
      <c r="AJ23" s="15"/>
      <c r="AK23" s="15"/>
      <c r="AL23" s="19" t="s">
        <v>173</v>
      </c>
      <c r="AM23" s="17" t="s">
        <v>174</v>
      </c>
    </row>
    <row r="24">
      <c r="A24" s="9" t="s">
        <v>175</v>
      </c>
      <c r="B24" s="9" t="s">
        <v>176</v>
      </c>
      <c r="C24" s="10" t="s">
        <v>177</v>
      </c>
      <c r="D24" s="11" t="s">
        <v>41</v>
      </c>
      <c r="E24" s="12"/>
      <c r="F24" s="12">
        <v>45857.0</v>
      </c>
      <c r="G24" s="13"/>
      <c r="H24" s="13"/>
      <c r="I24" s="9" t="s">
        <v>178</v>
      </c>
      <c r="J24" s="11" t="s">
        <v>65</v>
      </c>
      <c r="K24" s="9"/>
      <c r="L24" s="9" t="s">
        <v>43</v>
      </c>
      <c r="M24" s="15">
        <v>500.0</v>
      </c>
      <c r="N24" s="15">
        <v>100.0</v>
      </c>
      <c r="O24" s="14"/>
      <c r="P24" s="14"/>
      <c r="Q24" s="15"/>
      <c r="R24" s="12"/>
      <c r="S24" s="15"/>
      <c r="T24" s="15">
        <f t="shared" si="2"/>
        <v>600</v>
      </c>
      <c r="U24" s="15">
        <f t="shared" si="3"/>
        <v>600</v>
      </c>
      <c r="V24" s="16" t="s">
        <v>44</v>
      </c>
      <c r="W24" s="17">
        <v>6.5</v>
      </c>
      <c r="X24" s="15">
        <v>70.0</v>
      </c>
      <c r="Y24" s="17">
        <v>103.0</v>
      </c>
      <c r="Z24" s="17">
        <v>412.0</v>
      </c>
      <c r="AA24" s="15">
        <v>61.8</v>
      </c>
      <c r="AB24" s="16"/>
      <c r="AC24" s="15">
        <f>IF(OR(L24="", AB24=""), 0,
  IF(L24="Découverte", KPI!$F$2,
    IF(L24="Essentiel", KPI!$F$3,
      IF(L24="Premium", KPI!$F$4, 0)
    )
  )
)</f>
        <v>0</v>
      </c>
      <c r="AD24" s="15">
        <f t="array" ref="AD24">IF(F24="", "", 
  (T24 / 1.21) 
  - IF(L24="Découverte", KPI!$C$2, 
      IF(L24="Essentiel", KPI!$C$3, 
        IF(L24="Premium", KPI!$C$4, 0)
      )
    ) 
  - N(X24) 
  - N(AA24) 
  - N(AC24)
  - IFERROR(INDEX(Stats!$G:$G, MATCH(DATE(YEAR(R24), MONTH(R24), 1), Stats!$A:$A, 0)), 35)
)</f>
        <v>236.5677686</v>
      </c>
      <c r="AE24" s="18"/>
      <c r="AF24" s="18"/>
      <c r="AG24" s="15"/>
      <c r="AH24" s="15" t="s">
        <v>179</v>
      </c>
      <c r="AI24" s="15" t="s">
        <v>180</v>
      </c>
      <c r="AJ24" s="15"/>
      <c r="AK24" s="15"/>
      <c r="AL24" s="19" t="s">
        <v>181</v>
      </c>
      <c r="AM24" s="17" t="s">
        <v>182</v>
      </c>
    </row>
    <row r="25">
      <c r="A25" s="9" t="s">
        <v>183</v>
      </c>
      <c r="B25" s="9" t="s">
        <v>184</v>
      </c>
      <c r="C25" s="10" t="s">
        <v>185</v>
      </c>
      <c r="D25" s="11" t="s">
        <v>41</v>
      </c>
      <c r="E25" s="12"/>
      <c r="F25" s="12">
        <v>45857.0</v>
      </c>
      <c r="G25" s="13"/>
      <c r="H25" s="13"/>
      <c r="I25" s="9" t="s">
        <v>186</v>
      </c>
      <c r="J25" s="11" t="s">
        <v>65</v>
      </c>
      <c r="K25" s="9"/>
      <c r="L25" s="9" t="s">
        <v>43</v>
      </c>
      <c r="M25" s="15">
        <v>500.0</v>
      </c>
      <c r="N25" s="15">
        <v>120.0</v>
      </c>
      <c r="O25" s="14"/>
      <c r="P25" s="14"/>
      <c r="Q25" s="15"/>
      <c r="R25" s="12"/>
      <c r="S25" s="15"/>
      <c r="T25" s="15">
        <f t="shared" si="2"/>
        <v>620</v>
      </c>
      <c r="U25" s="15">
        <f t="shared" si="3"/>
        <v>620</v>
      </c>
      <c r="V25" s="16" t="s">
        <v>44</v>
      </c>
      <c r="W25" s="17">
        <v>7.5</v>
      </c>
      <c r="X25" s="15">
        <v>70.0</v>
      </c>
      <c r="Y25" s="17">
        <v>110.0</v>
      </c>
      <c r="Z25" s="17">
        <v>440.0</v>
      </c>
      <c r="AA25" s="15">
        <v>66.0</v>
      </c>
      <c r="AB25" s="16"/>
      <c r="AC25" s="15">
        <f>IF(OR(L25="", AB25=""), 0,
  IF(L25="Découverte", KPI!$F$2,
    IF(L25="Essentiel", KPI!$F$3,
      IF(L25="Premium", KPI!$F$4, 0)
    )
  )
)</f>
        <v>0</v>
      </c>
      <c r="AD25" s="15">
        <f t="array" ref="AD25">IF(F25="", "", 
  (T25 / 1.21) 
  - IF(L25="Découverte", KPI!$C$2, 
      IF(L25="Essentiel", KPI!$C$3, 
        IF(L25="Premium", KPI!$C$4, 0)
      )
    ) 
  - N(X25) 
  - N(AA25) 
  - N(AC25)
  - IFERROR(INDEX(Stats!$G:$G, MATCH(DATE(YEAR(R25), MONTH(R25), 1), Stats!$A:$A, 0)), 35)
)</f>
        <v>248.8966942</v>
      </c>
      <c r="AE25" s="18"/>
      <c r="AF25" s="18"/>
      <c r="AG25" s="15"/>
      <c r="AH25" s="15" t="s">
        <v>187</v>
      </c>
      <c r="AI25" s="15" t="s">
        <v>188</v>
      </c>
      <c r="AJ25" s="15"/>
      <c r="AK25" s="15"/>
      <c r="AL25" s="19" t="s">
        <v>189</v>
      </c>
      <c r="AM25" s="17" t="s">
        <v>190</v>
      </c>
    </row>
    <row r="26">
      <c r="A26" s="9" t="s">
        <v>191</v>
      </c>
      <c r="B26" s="9" t="s">
        <v>192</v>
      </c>
      <c r="C26" s="10" t="s">
        <v>193</v>
      </c>
      <c r="D26" s="11" t="s">
        <v>41</v>
      </c>
      <c r="E26" s="12"/>
      <c r="F26" s="12">
        <v>45864.0</v>
      </c>
      <c r="G26" s="13"/>
      <c r="H26" s="13"/>
      <c r="I26" s="9" t="s">
        <v>194</v>
      </c>
      <c r="J26" s="11" t="s">
        <v>65</v>
      </c>
      <c r="K26" s="9"/>
      <c r="L26" s="9" t="s">
        <v>43</v>
      </c>
      <c r="M26" s="15">
        <v>500.0</v>
      </c>
      <c r="N26" s="15">
        <v>125.0</v>
      </c>
      <c r="O26" s="14"/>
      <c r="P26" s="14"/>
      <c r="Q26" s="15"/>
      <c r="R26" s="12"/>
      <c r="S26" s="15"/>
      <c r="T26" s="15">
        <f t="shared" si="2"/>
        <v>625</v>
      </c>
      <c r="U26" s="15">
        <f t="shared" si="3"/>
        <v>625</v>
      </c>
      <c r="V26" s="16" t="s">
        <v>44</v>
      </c>
      <c r="W26" s="17">
        <v>6.5</v>
      </c>
      <c r="X26" s="15">
        <v>70.0</v>
      </c>
      <c r="Y26" s="17">
        <v>117.0</v>
      </c>
      <c r="Z26" s="17">
        <v>468.0</v>
      </c>
      <c r="AA26" s="15">
        <v>70.2</v>
      </c>
      <c r="AB26" s="16"/>
      <c r="AC26" s="15">
        <f>IF(OR(L26="", AB26=""), 0,
  IF(L26="Découverte", KPI!$F$2,
    IF(L26="Essentiel", KPI!$F$3,
      IF(L26="Premium", KPI!$F$4, 0)
    )
  )
)</f>
        <v>0</v>
      </c>
      <c r="AD26" s="15">
        <f t="array" ref="AD26">IF(F26="", "", 
  (T26 / 1.21) 
  - IF(L26="Découverte", KPI!$C$2, 
      IF(L26="Essentiel", KPI!$C$3, 
        IF(L26="Premium", KPI!$C$4, 0)
      )
    ) 
  - N(X26) 
  - N(AA26) 
  - N(AC26)
  - IFERROR(INDEX(Stats!$G:$G, MATCH(DATE(YEAR(R26), MONTH(R26), 1), Stats!$A:$A, 0)), 35)
)</f>
        <v>248.8289256</v>
      </c>
      <c r="AE26" s="18"/>
      <c r="AF26" s="18"/>
      <c r="AG26" s="15"/>
      <c r="AH26" s="15" t="s">
        <v>195</v>
      </c>
      <c r="AI26" s="15" t="s">
        <v>83</v>
      </c>
      <c r="AJ26" s="15"/>
      <c r="AK26" s="15"/>
      <c r="AL26" s="19" t="s">
        <v>196</v>
      </c>
      <c r="AM26" s="17" t="s">
        <v>197</v>
      </c>
    </row>
    <row r="27">
      <c r="A27" s="9" t="s">
        <v>198</v>
      </c>
      <c r="B27" s="9" t="s">
        <v>199</v>
      </c>
      <c r="C27" s="10" t="s">
        <v>200</v>
      </c>
      <c r="D27" s="11" t="s">
        <v>41</v>
      </c>
      <c r="E27" s="12"/>
      <c r="F27" s="12">
        <v>45877.0</v>
      </c>
      <c r="G27" s="13"/>
      <c r="H27" s="13"/>
      <c r="I27" s="9" t="s">
        <v>201</v>
      </c>
      <c r="J27" s="11" t="s">
        <v>65</v>
      </c>
      <c r="K27" s="9"/>
      <c r="L27" s="9" t="s">
        <v>43</v>
      </c>
      <c r="M27" s="15">
        <v>500.0</v>
      </c>
      <c r="N27" s="15">
        <v>70.0</v>
      </c>
      <c r="O27" s="14"/>
      <c r="P27" s="14"/>
      <c r="Q27" s="15"/>
      <c r="R27" s="12"/>
      <c r="S27" s="15"/>
      <c r="T27" s="15">
        <f t="shared" si="2"/>
        <v>570</v>
      </c>
      <c r="U27" s="15">
        <f t="shared" si="3"/>
        <v>570</v>
      </c>
      <c r="V27" s="16" t="s">
        <v>44</v>
      </c>
      <c r="W27" s="17">
        <v>5.0</v>
      </c>
      <c r="X27" s="15">
        <v>70.0</v>
      </c>
      <c r="Y27" s="17">
        <v>69.0</v>
      </c>
      <c r="Z27" s="17">
        <v>276.0</v>
      </c>
      <c r="AA27" s="15">
        <v>41.4</v>
      </c>
      <c r="AB27" s="16"/>
      <c r="AC27" s="15">
        <f>IF(OR(L27="", AB27=""), 0,
  IF(L27="Découverte", KPI!$F$2,
    IF(L27="Essentiel", KPI!$F$3,
      IF(L27="Premium", KPI!$F$4, 0)
    )
  )
)</f>
        <v>0</v>
      </c>
      <c r="AD27" s="15">
        <f t="array" ref="AD27">IF(F27="", "", 
  (T27 / 1.21) 
  - IF(L27="Découverte", KPI!$C$2, 
      IF(L27="Essentiel", KPI!$C$3, 
        IF(L27="Premium", KPI!$C$4, 0)
      )
    ) 
  - N(X27) 
  - N(AA27) 
  - N(AC27)
  - IFERROR(INDEX(Stats!$G:$G, MATCH(DATE(YEAR(R27), MONTH(R27), 1), Stats!$A:$A, 0)), 35)
)</f>
        <v>232.1743802</v>
      </c>
      <c r="AE27" s="18"/>
      <c r="AF27" s="18"/>
      <c r="AG27" s="15"/>
      <c r="AH27" s="15" t="s">
        <v>202</v>
      </c>
      <c r="AI27" s="15" t="s">
        <v>203</v>
      </c>
      <c r="AJ27" s="15"/>
      <c r="AK27" s="15"/>
      <c r="AL27" s="19"/>
      <c r="AM27" s="17" t="s">
        <v>204</v>
      </c>
    </row>
    <row r="28">
      <c r="A28" s="9" t="s">
        <v>205</v>
      </c>
      <c r="B28" s="9" t="s">
        <v>206</v>
      </c>
      <c r="C28" s="10" t="s">
        <v>207</v>
      </c>
      <c r="D28" s="11" t="s">
        <v>41</v>
      </c>
      <c r="E28" s="12"/>
      <c r="F28" s="12">
        <v>45878.0</v>
      </c>
      <c r="G28" s="13"/>
      <c r="H28" s="13"/>
      <c r="I28" s="9" t="s">
        <v>208</v>
      </c>
      <c r="J28" s="11" t="s">
        <v>65</v>
      </c>
      <c r="K28" s="9"/>
      <c r="L28" s="9" t="s">
        <v>43</v>
      </c>
      <c r="M28" s="15">
        <v>500.0</v>
      </c>
      <c r="N28" s="15">
        <v>70.0</v>
      </c>
      <c r="O28" s="14"/>
      <c r="P28" s="14"/>
      <c r="Q28" s="15"/>
      <c r="R28" s="12"/>
      <c r="S28" s="15"/>
      <c r="T28" s="15">
        <f t="shared" si="2"/>
        <v>570</v>
      </c>
      <c r="U28" s="15">
        <f t="shared" si="3"/>
        <v>570</v>
      </c>
      <c r="V28" s="16" t="s">
        <v>44</v>
      </c>
      <c r="W28" s="17">
        <v>3.0</v>
      </c>
      <c r="X28" s="15">
        <v>70.0</v>
      </c>
      <c r="Y28" s="17">
        <v>29.0</v>
      </c>
      <c r="Z28" s="17">
        <v>116.0</v>
      </c>
      <c r="AA28" s="15">
        <v>17.4</v>
      </c>
      <c r="AB28" s="16"/>
      <c r="AC28" s="15">
        <f>IF(OR(L28="", AB28=""), 0,
  IF(L28="Découverte", KPI!$F$2,
    IF(L28="Essentiel", KPI!$F$3,
      IF(L28="Premium", KPI!$F$4, 0)
    )
  )
)</f>
        <v>0</v>
      </c>
      <c r="AD28" s="15">
        <f t="array" ref="AD28">IF(F28="", "", 
  (T28 / 1.21) 
  - IF(L28="Découverte", KPI!$C$2, 
      IF(L28="Essentiel", KPI!$C$3, 
        IF(L28="Premium", KPI!$C$4, 0)
      )
    ) 
  - N(X28) 
  - N(AA28) 
  - N(AC28)
  - IFERROR(INDEX(Stats!$G:$G, MATCH(DATE(YEAR(R28), MONTH(R28), 1), Stats!$A:$A, 0)), 35)
)</f>
        <v>256.1743802</v>
      </c>
      <c r="AE28" s="18"/>
      <c r="AF28" s="18"/>
      <c r="AG28" s="15"/>
      <c r="AH28" s="15" t="s">
        <v>209</v>
      </c>
      <c r="AI28" s="15" t="s">
        <v>75</v>
      </c>
      <c r="AJ28" s="15"/>
      <c r="AK28" s="15"/>
      <c r="AL28" s="19" t="s">
        <v>210</v>
      </c>
      <c r="AM28" s="17" t="s">
        <v>211</v>
      </c>
    </row>
    <row r="29">
      <c r="A29" s="9" t="s">
        <v>212</v>
      </c>
      <c r="B29" s="9" t="s">
        <v>213</v>
      </c>
      <c r="C29" s="10" t="s">
        <v>214</v>
      </c>
      <c r="D29" s="11" t="s">
        <v>41</v>
      </c>
      <c r="E29" s="12"/>
      <c r="F29" s="12">
        <v>45878.0</v>
      </c>
      <c r="G29" s="13"/>
      <c r="H29" s="13"/>
      <c r="I29" s="9" t="s">
        <v>215</v>
      </c>
      <c r="J29" s="11" t="s">
        <v>65</v>
      </c>
      <c r="K29" s="9"/>
      <c r="L29" s="9" t="s">
        <v>43</v>
      </c>
      <c r="M29" s="15">
        <v>600.0</v>
      </c>
      <c r="N29" s="15">
        <v>100.0</v>
      </c>
      <c r="O29" s="14"/>
      <c r="P29" s="14"/>
      <c r="Q29" s="15"/>
      <c r="R29" s="12"/>
      <c r="S29" s="15"/>
      <c r="T29" s="15">
        <f t="shared" si="2"/>
        <v>700</v>
      </c>
      <c r="U29" s="15">
        <f t="shared" si="3"/>
        <v>700</v>
      </c>
      <c r="V29" s="16" t="s">
        <v>44</v>
      </c>
      <c r="W29" s="17">
        <v>7.0</v>
      </c>
      <c r="X29" s="15">
        <v>70.0</v>
      </c>
      <c r="Y29" s="17">
        <v>115.0</v>
      </c>
      <c r="Z29" s="17">
        <v>460.0</v>
      </c>
      <c r="AA29" s="15">
        <v>69.0</v>
      </c>
      <c r="AB29" s="16"/>
      <c r="AC29" s="15">
        <f>IF(OR(L29="", AB29=""), 0,
  IF(L29="Découverte", KPI!$F$2,
    IF(L29="Essentiel", KPI!$F$3,
      IF(L29="Premium", KPI!$F$4, 0)
    )
  )
)</f>
        <v>0</v>
      </c>
      <c r="AD29" s="15">
        <f t="array" ref="AD29">IF(F29="", "", 
  (T29 / 1.21) 
  - IF(L29="Découverte", KPI!$C$2, 
      IF(L29="Essentiel", KPI!$C$3, 
        IF(L29="Premium", KPI!$C$4, 0)
      )
    ) 
  - N(X29) 
  - N(AA29) 
  - N(AC29)
  - IFERROR(INDEX(Stats!$G:$G, MATCH(DATE(YEAR(R29), MONTH(R29), 1), Stats!$A:$A, 0)), 35)
)</f>
        <v>312.0123967</v>
      </c>
      <c r="AE29" s="18"/>
      <c r="AF29" s="18"/>
      <c r="AG29" s="15"/>
      <c r="AH29" s="15" t="s">
        <v>216</v>
      </c>
      <c r="AI29" s="15" t="s">
        <v>217</v>
      </c>
      <c r="AJ29" s="15"/>
      <c r="AK29" s="15"/>
      <c r="AL29" s="17" t="s">
        <v>218</v>
      </c>
      <c r="AM29" s="17" t="s">
        <v>219</v>
      </c>
    </row>
    <row r="30">
      <c r="A30" s="9" t="s">
        <v>220</v>
      </c>
      <c r="B30" s="9"/>
      <c r="C30" s="10" t="s">
        <v>221</v>
      </c>
      <c r="D30" s="11" t="s">
        <v>41</v>
      </c>
      <c r="E30" s="12"/>
      <c r="F30" s="12">
        <v>45878.0</v>
      </c>
      <c r="G30" s="13"/>
      <c r="H30" s="13"/>
      <c r="I30" s="9" t="s">
        <v>222</v>
      </c>
      <c r="J30" s="11" t="s">
        <v>65</v>
      </c>
      <c r="K30" s="9"/>
      <c r="L30" s="9" t="s">
        <v>43</v>
      </c>
      <c r="M30" s="15">
        <v>650.0</v>
      </c>
      <c r="N30" s="15">
        <v>100.0</v>
      </c>
      <c r="O30" s="14"/>
      <c r="P30" s="14"/>
      <c r="Q30" s="15"/>
      <c r="R30" s="12"/>
      <c r="S30" s="15"/>
      <c r="T30" s="15">
        <f t="shared" si="2"/>
        <v>750</v>
      </c>
      <c r="U30" s="15">
        <f t="shared" si="3"/>
        <v>750</v>
      </c>
      <c r="V30" s="16" t="s">
        <v>44</v>
      </c>
      <c r="W30" s="17">
        <v>6.0</v>
      </c>
      <c r="X30" s="15">
        <v>70.0</v>
      </c>
      <c r="Y30" s="17">
        <v>88.0</v>
      </c>
      <c r="Z30" s="17">
        <v>352.0</v>
      </c>
      <c r="AA30" s="15">
        <v>52.8</v>
      </c>
      <c r="AB30" s="16"/>
      <c r="AC30" s="15">
        <f>IF(OR(L30="", AB30=""), 0,
  IF(L30="Découverte", KPI!$F$2,
    IF(L30="Essentiel", KPI!$F$3,
      IF(L30="Premium", KPI!$F$4, 0)
    )
  )
)</f>
        <v>0</v>
      </c>
      <c r="AD30" s="15">
        <f t="array" ref="AD30">IF(F30="", "", 
  (T30 / 1.21) 
  - IF(L30="Découverte", KPI!$C$2, 
      IF(L30="Essentiel", KPI!$C$3, 
        IF(L30="Premium", KPI!$C$4, 0)
      )
    ) 
  - N(X30) 
  - N(AA30) 
  - N(AC30)
  - IFERROR(INDEX(Stats!$G:$G, MATCH(DATE(YEAR(R30), MONTH(R30), 1), Stats!$A:$A, 0)), 35)
)</f>
        <v>369.5347107</v>
      </c>
      <c r="AE30" s="18"/>
      <c r="AF30" s="18"/>
      <c r="AG30" s="15"/>
      <c r="AH30" s="15" t="s">
        <v>223</v>
      </c>
      <c r="AI30" s="15" t="s">
        <v>224</v>
      </c>
      <c r="AJ30" s="15"/>
      <c r="AK30" s="15"/>
      <c r="AL30" s="19"/>
      <c r="AM30" s="17"/>
    </row>
    <row r="31">
      <c r="A31" s="9" t="s">
        <v>225</v>
      </c>
      <c r="B31" s="9" t="s">
        <v>226</v>
      </c>
      <c r="C31" s="10" t="s">
        <v>227</v>
      </c>
      <c r="D31" s="11" t="s">
        <v>41</v>
      </c>
      <c r="E31" s="12"/>
      <c r="F31" s="12">
        <v>45885.0</v>
      </c>
      <c r="G31" s="13"/>
      <c r="H31" s="13"/>
      <c r="I31" s="9" t="s">
        <v>228</v>
      </c>
      <c r="J31" s="11" t="s">
        <v>65</v>
      </c>
      <c r="K31" s="9"/>
      <c r="L31" s="9" t="s">
        <v>50</v>
      </c>
      <c r="M31" s="15">
        <v>450.0</v>
      </c>
      <c r="N31" s="15">
        <v>130.0</v>
      </c>
      <c r="O31" s="14"/>
      <c r="P31" s="14"/>
      <c r="Q31" s="15"/>
      <c r="R31" s="12"/>
      <c r="S31" s="15"/>
      <c r="T31" s="15">
        <f t="shared" si="2"/>
        <v>580</v>
      </c>
      <c r="U31" s="15">
        <f t="shared" si="3"/>
        <v>580</v>
      </c>
      <c r="V31" s="16" t="s">
        <v>44</v>
      </c>
      <c r="W31" s="17">
        <v>7.5</v>
      </c>
      <c r="X31" s="15">
        <v>70.0</v>
      </c>
      <c r="Y31" s="17">
        <v>132.0</v>
      </c>
      <c r="Z31" s="17">
        <v>528.0</v>
      </c>
      <c r="AA31" s="15">
        <v>79.2</v>
      </c>
      <c r="AB31" s="16"/>
      <c r="AC31" s="15">
        <f>IF(OR(L31="", AB31=""), 0,
  IF(L31="Découverte", KPI!$F$2,
    IF(L31="Essentiel", KPI!$F$3,
      IF(L31="Premium", KPI!$F$4, 0)
    )
  )
)</f>
        <v>0</v>
      </c>
      <c r="AD31" s="15">
        <f t="array" ref="AD31">IF(F31="", "", 
  (T31 / 1.21) 
  - IF(L31="Découverte", KPI!$C$2, 
      IF(L31="Essentiel", KPI!$C$3, 
        IF(L31="Premium", KPI!$C$4, 0)
      )
    ) 
  - N(X31) 
  - N(AA31) 
  - N(AC31)
  - IFERROR(INDEX(Stats!$G:$G, MATCH(DATE(YEAR(R31), MONTH(R31), 1), Stats!$A:$A, 0)), 35)
)</f>
        <v>248.888843</v>
      </c>
      <c r="AE31" s="18"/>
      <c r="AF31" s="18"/>
      <c r="AG31" s="15"/>
      <c r="AH31" s="15" t="s">
        <v>229</v>
      </c>
      <c r="AI31" s="15" t="s">
        <v>217</v>
      </c>
      <c r="AJ31" s="15"/>
      <c r="AK31" s="15"/>
      <c r="AL31" s="19"/>
      <c r="AM31" s="17" t="s">
        <v>230</v>
      </c>
    </row>
    <row r="32">
      <c r="A32" s="9" t="s">
        <v>231</v>
      </c>
      <c r="B32" s="9" t="s">
        <v>232</v>
      </c>
      <c r="C32" s="10" t="s">
        <v>233</v>
      </c>
      <c r="D32" s="11" t="s">
        <v>41</v>
      </c>
      <c r="E32" s="12"/>
      <c r="F32" s="12">
        <v>45885.0</v>
      </c>
      <c r="G32" s="13"/>
      <c r="H32" s="13"/>
      <c r="I32" s="9" t="s">
        <v>234</v>
      </c>
      <c r="J32" s="11" t="s">
        <v>65</v>
      </c>
      <c r="K32" s="9"/>
      <c r="L32" s="9" t="s">
        <v>43</v>
      </c>
      <c r="M32" s="15">
        <v>500.0</v>
      </c>
      <c r="N32" s="15">
        <v>140.0</v>
      </c>
      <c r="O32" s="14"/>
      <c r="P32" s="14"/>
      <c r="Q32" s="15"/>
      <c r="R32" s="12"/>
      <c r="S32" s="15"/>
      <c r="T32" s="15">
        <f t="shared" si="2"/>
        <v>640</v>
      </c>
      <c r="U32" s="15">
        <f t="shared" si="3"/>
        <v>640</v>
      </c>
      <c r="V32" s="16" t="s">
        <v>44</v>
      </c>
      <c r="W32" s="17">
        <v>8.0</v>
      </c>
      <c r="X32" s="15">
        <v>70.0</v>
      </c>
      <c r="Y32" s="17">
        <v>133.0</v>
      </c>
      <c r="Z32" s="17">
        <v>532.0</v>
      </c>
      <c r="AA32" s="15">
        <v>79.8</v>
      </c>
      <c r="AB32" s="16"/>
      <c r="AC32" s="15">
        <f>IF(OR(L32="", AB32=""), 0,
  IF(L32="Découverte", KPI!$F$2,
    IF(L32="Essentiel", KPI!$F$3,
      IF(L32="Premium", KPI!$F$4, 0)
    )
  )
)</f>
        <v>0</v>
      </c>
      <c r="AD32" s="15">
        <f t="array" ref="AD32">IF(F32="", "", 
  (T32 / 1.21) 
  - IF(L32="Découverte", KPI!$C$2, 
      IF(L32="Essentiel", KPI!$C$3, 
        IF(L32="Premium", KPI!$C$4, 0)
      )
    ) 
  - N(X32) 
  - N(AA32) 
  - N(AC32)
  - IFERROR(INDEX(Stats!$G:$G, MATCH(DATE(YEAR(R32), MONTH(R32), 1), Stats!$A:$A, 0)), 35)
)</f>
        <v>251.6256198</v>
      </c>
      <c r="AE32" s="18"/>
      <c r="AF32" s="18"/>
      <c r="AG32" s="15"/>
      <c r="AH32" s="15" t="s">
        <v>235</v>
      </c>
      <c r="AI32" s="15" t="s">
        <v>236</v>
      </c>
      <c r="AJ32" s="15"/>
      <c r="AK32" s="15"/>
      <c r="AL32" s="19"/>
      <c r="AM32" s="17" t="s">
        <v>237</v>
      </c>
    </row>
    <row r="33">
      <c r="A33" s="9" t="s">
        <v>238</v>
      </c>
      <c r="B33" s="9" t="s">
        <v>239</v>
      </c>
      <c r="C33" s="10" t="s">
        <v>240</v>
      </c>
      <c r="D33" s="11" t="s">
        <v>41</v>
      </c>
      <c r="E33" s="12"/>
      <c r="F33" s="12">
        <v>45885.0</v>
      </c>
      <c r="G33" s="13"/>
      <c r="H33" s="13"/>
      <c r="I33" s="9" t="s">
        <v>241</v>
      </c>
      <c r="J33" s="11" t="s">
        <v>65</v>
      </c>
      <c r="K33" s="9"/>
      <c r="L33" s="9" t="s">
        <v>50</v>
      </c>
      <c r="M33" s="15">
        <v>450.0</v>
      </c>
      <c r="N33" s="15">
        <v>50.0</v>
      </c>
      <c r="O33" s="14"/>
      <c r="P33" s="14"/>
      <c r="Q33" s="15"/>
      <c r="R33" s="12"/>
      <c r="S33" s="15"/>
      <c r="T33" s="15">
        <f t="shared" si="2"/>
        <v>500</v>
      </c>
      <c r="U33" s="15">
        <f t="shared" si="3"/>
        <v>500</v>
      </c>
      <c r="V33" s="16" t="s">
        <v>44</v>
      </c>
      <c r="W33" s="17">
        <v>2.5</v>
      </c>
      <c r="X33" s="15">
        <v>70.0</v>
      </c>
      <c r="Y33" s="17">
        <v>20.0</v>
      </c>
      <c r="Z33" s="17">
        <v>80.0</v>
      </c>
      <c r="AA33" s="15">
        <v>12.0</v>
      </c>
      <c r="AB33" s="16"/>
      <c r="AC33" s="15">
        <f>IF(OR(L33="", AB33=""), 0,
  IF(L33="Découverte", KPI!$F$2,
    IF(L33="Essentiel", KPI!$F$3,
      IF(L33="Premium", KPI!$F$4, 0)
    )
  )
)</f>
        <v>0</v>
      </c>
      <c r="AD33" s="15">
        <f t="array" ref="AD33">IF(F33="", "", 
  (T33 / 1.21) 
  - IF(L33="Découverte", KPI!$C$2, 
      IF(L33="Essentiel", KPI!$C$3, 
        IF(L33="Premium", KPI!$C$4, 0)
      )
    ) 
  - N(X33) 
  - N(AA33) 
  - N(AC33)
  - IFERROR(INDEX(Stats!$G:$G, MATCH(DATE(YEAR(R33), MONTH(R33), 1), Stats!$A:$A, 0)), 35)
)</f>
        <v>249.9731405</v>
      </c>
      <c r="AE33" s="18"/>
      <c r="AF33" s="18"/>
      <c r="AG33" s="15"/>
      <c r="AH33" s="15" t="s">
        <v>242</v>
      </c>
      <c r="AI33" s="15" t="s">
        <v>166</v>
      </c>
      <c r="AJ33" s="15"/>
      <c r="AK33" s="15"/>
      <c r="AL33" s="19"/>
      <c r="AM33" s="17" t="s">
        <v>174</v>
      </c>
    </row>
    <row r="34">
      <c r="A34" s="9" t="s">
        <v>243</v>
      </c>
      <c r="B34" s="9"/>
      <c r="C34" s="10" t="s">
        <v>244</v>
      </c>
      <c r="D34" s="11" t="s">
        <v>41</v>
      </c>
      <c r="E34" s="12"/>
      <c r="F34" s="12">
        <v>45891.0</v>
      </c>
      <c r="G34" s="13"/>
      <c r="H34" s="13"/>
      <c r="I34" s="9"/>
      <c r="J34" s="11" t="s">
        <v>65</v>
      </c>
      <c r="K34" s="9"/>
      <c r="L34" s="9" t="s">
        <v>43</v>
      </c>
      <c r="M34" s="15">
        <v>500.0</v>
      </c>
      <c r="N34" s="15"/>
      <c r="O34" s="14"/>
      <c r="P34" s="14"/>
      <c r="Q34" s="15"/>
      <c r="R34" s="12"/>
      <c r="S34" s="15"/>
      <c r="T34" s="15">
        <f t="shared" si="2"/>
        <v>500</v>
      </c>
      <c r="U34" s="15">
        <f t="shared" si="3"/>
        <v>500</v>
      </c>
      <c r="V34" s="16" t="s">
        <v>44</v>
      </c>
      <c r="W34" s="17"/>
      <c r="X34" s="15">
        <v>70.0</v>
      </c>
      <c r="Y34" s="17"/>
      <c r="Z34" s="17"/>
      <c r="AA34" s="15" t="str">
        <f>IF(Z34=0,"", Z34 * 0.15)</f>
        <v/>
      </c>
      <c r="AB34" s="16"/>
      <c r="AC34" s="15">
        <f>IF(OR(L34="", AB34=""), 0,
  IF(L34="Découverte", KPI!$F$2,
    IF(L34="Essentiel", KPI!$F$3,
      IF(L34="Premium", KPI!$F$4, 0)
    )
  )
)</f>
        <v>0</v>
      </c>
      <c r="AD34" s="15">
        <f t="array" ref="AD34">IF(F34="", "", 
  (T34 / 1.21) 
  - IF(L34="Découverte", KPI!$C$2, 
      IF(L34="Essentiel", KPI!$C$3, 
        IF(L34="Premium", KPI!$C$4, 0)
      )
    ) 
  - N(X34) 
  - N(AA34) 
  - N(AC34)
  - IFERROR(INDEX(Stats!$G:$G, MATCH(DATE(YEAR(R34), MONTH(R34), 1), Stats!$A:$A, 0)), 35)
)</f>
        <v>215.7231405</v>
      </c>
      <c r="AE34" s="18"/>
      <c r="AF34" s="18"/>
      <c r="AG34" s="15"/>
      <c r="AH34" s="15" t="s">
        <v>245</v>
      </c>
      <c r="AI34" s="15" t="s">
        <v>159</v>
      </c>
      <c r="AJ34" s="15"/>
      <c r="AK34" s="15"/>
      <c r="AL34" s="19"/>
      <c r="AM34" s="17"/>
    </row>
    <row r="35">
      <c r="A35" s="9" t="s">
        <v>246</v>
      </c>
      <c r="B35" s="9" t="s">
        <v>247</v>
      </c>
      <c r="C35" s="10" t="s">
        <v>248</v>
      </c>
      <c r="D35" s="11" t="s">
        <v>41</v>
      </c>
      <c r="E35" s="12"/>
      <c r="F35" s="12">
        <v>45892.0</v>
      </c>
      <c r="G35" s="13"/>
      <c r="H35" s="13"/>
      <c r="I35" s="9" t="s">
        <v>249</v>
      </c>
      <c r="J35" s="11" t="s">
        <v>65</v>
      </c>
      <c r="K35" s="9"/>
      <c r="L35" s="9" t="s">
        <v>50</v>
      </c>
      <c r="M35" s="15">
        <v>450.0</v>
      </c>
      <c r="N35" s="15">
        <v>130.0</v>
      </c>
      <c r="O35" s="14"/>
      <c r="P35" s="14"/>
      <c r="Q35" s="15"/>
      <c r="R35" s="12"/>
      <c r="S35" s="15"/>
      <c r="T35" s="15">
        <f t="shared" si="2"/>
        <v>580</v>
      </c>
      <c r="U35" s="15">
        <f t="shared" si="3"/>
        <v>580</v>
      </c>
      <c r="V35" s="16" t="s">
        <v>44</v>
      </c>
      <c r="W35" s="17">
        <v>7.5</v>
      </c>
      <c r="X35" s="15">
        <v>70.0</v>
      </c>
      <c r="Y35" s="17">
        <v>134.0</v>
      </c>
      <c r="Z35" s="17">
        <v>536.0</v>
      </c>
      <c r="AA35" s="15">
        <v>80.4</v>
      </c>
      <c r="AB35" s="16"/>
      <c r="AC35" s="15">
        <f>IF(OR(L35="", AB35=""), 0,
  IF(L35="Découverte", KPI!$F$2,
    IF(L35="Essentiel", KPI!$F$3,
      IF(L35="Premium", KPI!$F$4, 0)
    )
  )
)</f>
        <v>0</v>
      </c>
      <c r="AD35" s="15">
        <f t="array" ref="AD35">IF(F35="", "", 
  (T35 / 1.21) 
  - IF(L35="Découverte", KPI!$C$2, 
      IF(L35="Essentiel", KPI!$C$3, 
        IF(L35="Premium", KPI!$C$4, 0)
      )
    ) 
  - N(X35) 
  - N(AA35) 
  - N(AC35)
  - IFERROR(INDEX(Stats!$G:$G, MATCH(DATE(YEAR(R35), MONTH(R35), 1), Stats!$A:$A, 0)), 35)
)</f>
        <v>247.688843</v>
      </c>
      <c r="AE35" s="18"/>
      <c r="AF35" s="18"/>
      <c r="AG35" s="15"/>
      <c r="AH35" s="15" t="s">
        <v>250</v>
      </c>
      <c r="AI35" s="15" t="s">
        <v>251</v>
      </c>
      <c r="AJ35" s="15"/>
      <c r="AK35" s="15"/>
      <c r="AL35" s="19" t="s">
        <v>252</v>
      </c>
      <c r="AM35" s="17" t="s">
        <v>253</v>
      </c>
    </row>
    <row r="36">
      <c r="A36" s="9" t="s">
        <v>254</v>
      </c>
      <c r="B36" s="9" t="s">
        <v>255</v>
      </c>
      <c r="C36" s="10" t="s">
        <v>256</v>
      </c>
      <c r="D36" s="11" t="s">
        <v>41</v>
      </c>
      <c r="E36" s="12"/>
      <c r="F36" s="12">
        <v>45893.0</v>
      </c>
      <c r="G36" s="13"/>
      <c r="H36" s="13"/>
      <c r="I36" s="9" t="s">
        <v>257</v>
      </c>
      <c r="J36" s="11" t="s">
        <v>65</v>
      </c>
      <c r="K36" s="9"/>
      <c r="L36" s="9" t="s">
        <v>50</v>
      </c>
      <c r="M36" s="15">
        <v>450.0</v>
      </c>
      <c r="N36" s="15">
        <v>90.0</v>
      </c>
      <c r="O36" s="14"/>
      <c r="P36" s="14"/>
      <c r="Q36" s="15"/>
      <c r="R36" s="12"/>
      <c r="S36" s="15"/>
      <c r="T36" s="15">
        <f t="shared" si="2"/>
        <v>540</v>
      </c>
      <c r="U36" s="15">
        <f t="shared" si="3"/>
        <v>540</v>
      </c>
      <c r="V36" s="16" t="s">
        <v>44</v>
      </c>
      <c r="W36" s="17">
        <v>3.0</v>
      </c>
      <c r="X36" s="15">
        <v>70.0</v>
      </c>
      <c r="Y36" s="17">
        <v>22.0</v>
      </c>
      <c r="Z36" s="17">
        <v>88.0</v>
      </c>
      <c r="AA36" s="15">
        <v>13.2</v>
      </c>
      <c r="AB36" s="16"/>
      <c r="AC36" s="15">
        <f>IF(OR(L36="", AB36=""), 0,
  IF(L36="Découverte", KPI!$F$2,
    IF(L36="Essentiel", KPI!$F$3,
      IF(L36="Premium", KPI!$F$4, 0)
    )
  )
)</f>
        <v>0</v>
      </c>
      <c r="AD36" s="15">
        <f t="array" ref="AD36">IF(F36="", "", 
  (T36 / 1.21) 
  - IF(L36="Découverte", KPI!$C$2, 
      IF(L36="Essentiel", KPI!$C$3, 
        IF(L36="Premium", KPI!$C$4, 0)
      )
    ) 
  - N(X36) 
  - N(AA36) 
  - N(AC36)
  - IFERROR(INDEX(Stats!$G:$G, MATCH(DATE(YEAR(R36), MONTH(R36), 1), Stats!$A:$A, 0)), 35)
)</f>
        <v>281.8309917</v>
      </c>
      <c r="AE36" s="18"/>
      <c r="AF36" s="18"/>
      <c r="AG36" s="15"/>
      <c r="AH36" s="15" t="s">
        <v>258</v>
      </c>
      <c r="AI36" s="15" t="s">
        <v>217</v>
      </c>
      <c r="AJ36" s="15"/>
      <c r="AK36" s="15"/>
      <c r="AL36" s="19" t="s">
        <v>259</v>
      </c>
      <c r="AM36" s="17" t="s">
        <v>260</v>
      </c>
    </row>
    <row r="37">
      <c r="A37" s="9" t="s">
        <v>261</v>
      </c>
      <c r="B37" s="9" t="s">
        <v>262</v>
      </c>
      <c r="C37" s="10" t="s">
        <v>263</v>
      </c>
      <c r="D37" s="11" t="s">
        <v>41</v>
      </c>
      <c r="E37" s="12"/>
      <c r="F37" s="12">
        <v>45899.0</v>
      </c>
      <c r="G37" s="13"/>
      <c r="H37" s="13"/>
      <c r="I37" s="9" t="s">
        <v>264</v>
      </c>
      <c r="J37" s="11" t="s">
        <v>65</v>
      </c>
      <c r="K37" s="9"/>
      <c r="L37" s="9" t="s">
        <v>265</v>
      </c>
      <c r="M37" s="15">
        <v>400.0</v>
      </c>
      <c r="N37" s="15">
        <v>100.0</v>
      </c>
      <c r="O37" s="14"/>
      <c r="P37" s="14"/>
      <c r="Q37" s="15"/>
      <c r="R37" s="12"/>
      <c r="S37" s="15"/>
      <c r="T37" s="15">
        <f t="shared" si="2"/>
        <v>500</v>
      </c>
      <c r="U37" s="15">
        <f t="shared" si="3"/>
        <v>500</v>
      </c>
      <c r="V37" s="16" t="s">
        <v>44</v>
      </c>
      <c r="W37" s="17">
        <v>7.0</v>
      </c>
      <c r="X37" s="15">
        <v>70.0</v>
      </c>
      <c r="Y37" s="17">
        <v>128.0</v>
      </c>
      <c r="Z37" s="17">
        <v>512.0</v>
      </c>
      <c r="AA37" s="15">
        <v>76.8</v>
      </c>
      <c r="AB37" s="16"/>
      <c r="AC37" s="15">
        <f>IF(OR(L37="", AB37=""), 0,
  IF(L37="Découverte", KPI!$F$2,
    IF(L37="Essentiel", KPI!$F$3,
      IF(L37="Premium", KPI!$F$4, 0)
    )
  )
)</f>
        <v>0</v>
      </c>
      <c r="AD37" s="15">
        <f t="array" ref="AD37">IF(F37="", "", 
  (T37 / 1.21) 
  - IF(L37="Découverte", KPI!$C$2, 
      IF(L37="Essentiel", KPI!$C$3, 
        IF(L37="Premium", KPI!$C$4, 0)
      )
    ) 
  - N(X37) 
  - N(AA37) 
  - N(AC37)
  - IFERROR(INDEX(Stats!$G:$G, MATCH(DATE(YEAR(R37), MONTH(R37), 1), Stats!$A:$A, 0)), 35)
)</f>
        <v>231.4231405</v>
      </c>
      <c r="AE37" s="18"/>
      <c r="AF37" s="18"/>
      <c r="AG37" s="15"/>
      <c r="AH37" s="15" t="s">
        <v>266</v>
      </c>
      <c r="AI37" s="15" t="s">
        <v>236</v>
      </c>
      <c r="AJ37" s="15"/>
      <c r="AK37" s="15"/>
      <c r="AL37" s="19"/>
      <c r="AM37" s="17" t="s">
        <v>267</v>
      </c>
    </row>
    <row r="38">
      <c r="A38" s="9" t="s">
        <v>268</v>
      </c>
      <c r="B38" s="9" t="s">
        <v>269</v>
      </c>
      <c r="C38" s="10" t="s">
        <v>270</v>
      </c>
      <c r="D38" s="11" t="s">
        <v>41</v>
      </c>
      <c r="E38" s="12"/>
      <c r="F38" s="12">
        <v>45906.0</v>
      </c>
      <c r="G38" s="13"/>
      <c r="H38" s="13"/>
      <c r="I38" s="9" t="s">
        <v>271</v>
      </c>
      <c r="J38" s="11" t="s">
        <v>65</v>
      </c>
      <c r="K38" s="9"/>
      <c r="L38" s="9" t="s">
        <v>43</v>
      </c>
      <c r="M38" s="15">
        <v>500.0</v>
      </c>
      <c r="N38" s="15">
        <v>120.0</v>
      </c>
      <c r="O38" s="14"/>
      <c r="P38" s="14"/>
      <c r="Q38" s="15"/>
      <c r="R38" s="12"/>
      <c r="S38" s="15"/>
      <c r="T38" s="15">
        <f t="shared" si="2"/>
        <v>620</v>
      </c>
      <c r="U38" s="15">
        <f t="shared" si="3"/>
        <v>620</v>
      </c>
      <c r="V38" s="16" t="s">
        <v>44</v>
      </c>
      <c r="W38" s="17">
        <v>6.0</v>
      </c>
      <c r="X38" s="15">
        <v>70.0</v>
      </c>
      <c r="Y38" s="17">
        <v>89.0</v>
      </c>
      <c r="Z38" s="17">
        <v>356.0</v>
      </c>
      <c r="AA38" s="15">
        <v>53.4</v>
      </c>
      <c r="AB38" s="16"/>
      <c r="AC38" s="15">
        <f>IF(OR(L38="", AB38=""), 0,
  IF(L38="Découverte", KPI!$F$2,
    IF(L38="Essentiel", KPI!$F$3,
      IF(L38="Premium", KPI!$F$4, 0)
    )
  )
)</f>
        <v>0</v>
      </c>
      <c r="AD38" s="15">
        <f t="array" ref="AD38">IF(F38="", "", 
  (T38 / 1.21) 
  - IF(L38="Découverte", KPI!$C$2, 
      IF(L38="Essentiel", KPI!$C$3, 
        IF(L38="Premium", KPI!$C$4, 0)
      )
    ) 
  - N(X38) 
  - N(AA38) 
  - N(AC38)
  - IFERROR(INDEX(Stats!$G:$G, MATCH(DATE(YEAR(R38), MONTH(R38), 1), Stats!$A:$A, 0)), 35)
)</f>
        <v>261.4966942</v>
      </c>
      <c r="AE38" s="18"/>
      <c r="AF38" s="18"/>
      <c r="AG38" s="15"/>
      <c r="AH38" s="15" t="s">
        <v>272</v>
      </c>
      <c r="AI38" s="15" t="s">
        <v>273</v>
      </c>
      <c r="AJ38" s="15"/>
      <c r="AK38" s="15"/>
      <c r="AL38" s="19"/>
      <c r="AM38" s="17" t="s">
        <v>274</v>
      </c>
    </row>
    <row r="39">
      <c r="A39" s="9" t="s">
        <v>275</v>
      </c>
      <c r="B39" s="9" t="s">
        <v>276</v>
      </c>
      <c r="C39" s="10" t="s">
        <v>277</v>
      </c>
      <c r="D39" s="11" t="s">
        <v>41</v>
      </c>
      <c r="E39" s="12"/>
      <c r="F39" s="12">
        <v>45906.0</v>
      </c>
      <c r="G39" s="9"/>
      <c r="H39" s="9"/>
      <c r="I39" s="9" t="s">
        <v>278</v>
      </c>
      <c r="J39" s="11" t="s">
        <v>65</v>
      </c>
      <c r="K39" s="14"/>
      <c r="L39" s="9" t="s">
        <v>43</v>
      </c>
      <c r="M39" s="15">
        <v>500.0</v>
      </c>
      <c r="N39" s="15">
        <v>120.0</v>
      </c>
      <c r="O39" s="14"/>
      <c r="P39" s="14"/>
      <c r="Q39" s="15"/>
      <c r="R39" s="12"/>
      <c r="S39" s="15"/>
      <c r="T39" s="15">
        <f t="shared" si="2"/>
        <v>620</v>
      </c>
      <c r="U39" s="15">
        <f t="shared" si="3"/>
        <v>620</v>
      </c>
      <c r="V39" s="16" t="s">
        <v>44</v>
      </c>
      <c r="W39" s="17">
        <v>8.5</v>
      </c>
      <c r="X39" s="15">
        <v>70.0</v>
      </c>
      <c r="Y39" s="17">
        <v>156.0</v>
      </c>
      <c r="Z39" s="17">
        <v>624.0</v>
      </c>
      <c r="AA39" s="15">
        <v>93.6</v>
      </c>
      <c r="AB39" s="16"/>
      <c r="AC39" s="15">
        <f>IF(OR(L39="", AB39=""), 0,
  IF(L39="Découverte", KPI!$F$2,
    IF(L39="Essentiel", KPI!$F$3,
      IF(L39="Premium", KPI!$F$4, 0)
    )
  )
)</f>
        <v>0</v>
      </c>
      <c r="AD39" s="15">
        <f t="array" ref="AD39">IF(F39="", "", 
  (T39 / 1.21) 
  - IF(L39="Découverte", KPI!$C$2, 
      IF(L39="Essentiel", KPI!$C$3, 
        IF(L39="Premium", KPI!$C$4, 0)
      )
    ) 
  - N(X39) 
  - N(AA39) 
  - N(AC39)
  - IFERROR(INDEX(Stats!$G:$G, MATCH(DATE(YEAR(R39), MONTH(R39), 1), Stats!$A:$A, 0)), 35)
)</f>
        <v>221.2966942</v>
      </c>
      <c r="AE39" s="18"/>
      <c r="AF39" s="18"/>
      <c r="AG39" s="15"/>
      <c r="AH39" s="15" t="s">
        <v>279</v>
      </c>
      <c r="AI39" s="15" t="s">
        <v>83</v>
      </c>
      <c r="AJ39" s="15"/>
      <c r="AK39" s="15"/>
      <c r="AL39" s="19" t="s">
        <v>280</v>
      </c>
      <c r="AM39" s="17" t="s">
        <v>281</v>
      </c>
    </row>
    <row r="40">
      <c r="A40" s="9" t="s">
        <v>282</v>
      </c>
      <c r="B40" s="9" t="s">
        <v>283</v>
      </c>
      <c r="C40" s="10" t="s">
        <v>284</v>
      </c>
      <c r="D40" s="11" t="s">
        <v>41</v>
      </c>
      <c r="E40" s="12"/>
      <c r="F40" s="12">
        <v>45913.0</v>
      </c>
      <c r="G40" s="9"/>
      <c r="H40" s="9"/>
      <c r="I40" s="9" t="s">
        <v>285</v>
      </c>
      <c r="J40" s="11" t="s">
        <v>65</v>
      </c>
      <c r="K40" s="14"/>
      <c r="L40" s="9" t="s">
        <v>50</v>
      </c>
      <c r="M40" s="15">
        <v>450.0</v>
      </c>
      <c r="N40" s="15">
        <v>100.0</v>
      </c>
      <c r="O40" s="14"/>
      <c r="P40" s="14"/>
      <c r="Q40" s="15"/>
      <c r="R40" s="12"/>
      <c r="S40" s="15"/>
      <c r="T40" s="15">
        <f t="shared" si="2"/>
        <v>550</v>
      </c>
      <c r="U40" s="15">
        <f t="shared" si="3"/>
        <v>550</v>
      </c>
      <c r="V40" s="16" t="s">
        <v>44</v>
      </c>
      <c r="W40" s="17">
        <v>5.5</v>
      </c>
      <c r="X40" s="15">
        <v>70.0</v>
      </c>
      <c r="Y40" s="17">
        <v>78.0</v>
      </c>
      <c r="Z40" s="17">
        <v>312.0</v>
      </c>
      <c r="AA40" s="15">
        <v>46.8</v>
      </c>
      <c r="AB40" s="16"/>
      <c r="AC40" s="15">
        <f>IF(OR(L40="", AB40=""), 0,
  IF(L40="Découverte", KPI!$F$2,
    IF(L40="Essentiel", KPI!$F$3,
      IF(L40="Premium", KPI!$F$4, 0)
    )
  )
)</f>
        <v>0</v>
      </c>
      <c r="AD40" s="15">
        <f t="array" ref="AD40">IF(F40="", "", 
  (T40 / 1.21) 
  - IF(L40="Découverte", KPI!$C$2, 
      IF(L40="Essentiel", KPI!$C$3, 
        IF(L40="Premium", KPI!$C$4, 0)
      )
    ) 
  - N(X40) 
  - N(AA40) 
  - N(AC40)
  - IFERROR(INDEX(Stats!$G:$G, MATCH(DATE(YEAR(R40), MONTH(R40), 1), Stats!$A:$A, 0)), 35)
)</f>
        <v>256.4954545</v>
      </c>
      <c r="AE40" s="18"/>
      <c r="AF40" s="18"/>
      <c r="AG40" s="15"/>
      <c r="AH40" s="15" t="s">
        <v>286</v>
      </c>
      <c r="AI40" s="15" t="s">
        <v>273</v>
      </c>
      <c r="AJ40" s="15"/>
      <c r="AK40" s="15"/>
      <c r="AL40" s="19"/>
      <c r="AM40" s="17" t="s">
        <v>287</v>
      </c>
    </row>
    <row r="41">
      <c r="A41" s="9" t="s">
        <v>288</v>
      </c>
      <c r="B41" s="9" t="s">
        <v>289</v>
      </c>
      <c r="C41" s="10" t="s">
        <v>290</v>
      </c>
      <c r="D41" s="11" t="s">
        <v>41</v>
      </c>
      <c r="E41" s="12"/>
      <c r="F41" s="12">
        <v>45913.0</v>
      </c>
      <c r="G41" s="9"/>
      <c r="H41" s="9"/>
      <c r="I41" s="9" t="s">
        <v>291</v>
      </c>
      <c r="J41" s="11" t="s">
        <v>65</v>
      </c>
      <c r="K41" s="14"/>
      <c r="L41" s="9" t="s">
        <v>50</v>
      </c>
      <c r="M41" s="15">
        <v>450.0</v>
      </c>
      <c r="N41" s="15">
        <v>80.0</v>
      </c>
      <c r="O41" s="14"/>
      <c r="P41" s="14"/>
      <c r="Q41" s="15"/>
      <c r="R41" s="12"/>
      <c r="S41" s="15"/>
      <c r="T41" s="15">
        <f t="shared" si="2"/>
        <v>530</v>
      </c>
      <c r="U41" s="15">
        <f t="shared" si="3"/>
        <v>530</v>
      </c>
      <c r="V41" s="16" t="s">
        <v>44</v>
      </c>
      <c r="W41" s="17">
        <v>3.5</v>
      </c>
      <c r="X41" s="15">
        <v>70.0</v>
      </c>
      <c r="Y41" s="17">
        <v>24.0</v>
      </c>
      <c r="Z41" s="17">
        <v>96.0</v>
      </c>
      <c r="AA41" s="15">
        <v>14.4</v>
      </c>
      <c r="AB41" s="16"/>
      <c r="AC41" s="15">
        <f>IF(OR(L41="", AB41=""), 0,
  IF(L41="Découverte", KPI!$F$2,
    IF(L41="Essentiel", KPI!$F$3,
      IF(L41="Premium", KPI!$F$4, 0)
    )
  )
)</f>
        <v>0</v>
      </c>
      <c r="AD41" s="15">
        <f t="array" ref="AD41">IF(F41="", "", 
  (T41 / 1.21) 
  - IF(L41="Découverte", KPI!$C$2, 
      IF(L41="Essentiel", KPI!$C$3, 
        IF(L41="Premium", KPI!$C$4, 0)
      )
    ) 
  - N(X41) 
  - N(AA41) 
  - N(AC41)
  - IFERROR(INDEX(Stats!$G:$G, MATCH(DATE(YEAR(R41), MONTH(R41), 1), Stats!$A:$A, 0)), 35)
)</f>
        <v>272.3665289</v>
      </c>
      <c r="AE41" s="18"/>
      <c r="AF41" s="18"/>
      <c r="AG41" s="15"/>
      <c r="AH41" s="15" t="s">
        <v>292</v>
      </c>
      <c r="AI41" s="15" t="s">
        <v>203</v>
      </c>
      <c r="AJ41" s="15"/>
      <c r="AK41" s="15"/>
      <c r="AL41" s="19" t="s">
        <v>293</v>
      </c>
      <c r="AM41" s="17" t="s">
        <v>294</v>
      </c>
    </row>
    <row r="42">
      <c r="A42" s="9" t="s">
        <v>295</v>
      </c>
      <c r="B42" s="9" t="s">
        <v>296</v>
      </c>
      <c r="C42" s="10" t="s">
        <v>297</v>
      </c>
      <c r="D42" s="11" t="s">
        <v>41</v>
      </c>
      <c r="E42" s="12"/>
      <c r="F42" s="12">
        <v>45913.0</v>
      </c>
      <c r="G42" s="9"/>
      <c r="H42" s="9"/>
      <c r="I42" s="9" t="s">
        <v>298</v>
      </c>
      <c r="J42" s="11" t="s">
        <v>65</v>
      </c>
      <c r="K42" s="14"/>
      <c r="L42" s="9" t="s">
        <v>43</v>
      </c>
      <c r="M42" s="15">
        <v>500.0</v>
      </c>
      <c r="N42" s="15">
        <v>100.0</v>
      </c>
      <c r="O42" s="14"/>
      <c r="P42" s="14"/>
      <c r="Q42" s="15"/>
      <c r="R42" s="12"/>
      <c r="S42" s="15"/>
      <c r="T42" s="15">
        <f t="shared" si="2"/>
        <v>600</v>
      </c>
      <c r="U42" s="15">
        <f t="shared" si="3"/>
        <v>600</v>
      </c>
      <c r="V42" s="16" t="s">
        <v>44</v>
      </c>
      <c r="W42" s="17">
        <v>5.0</v>
      </c>
      <c r="X42" s="15">
        <v>70.0</v>
      </c>
      <c r="Y42" s="17">
        <v>75.0</v>
      </c>
      <c r="Z42" s="17">
        <v>300.0</v>
      </c>
      <c r="AA42" s="15">
        <v>45.0</v>
      </c>
      <c r="AB42" s="16"/>
      <c r="AC42" s="15">
        <f>IF(OR(L42="", AB42=""), 0,
  IF(L42="Découverte", KPI!$F$2,
    IF(L42="Essentiel", KPI!$F$3,
      IF(L42="Premium", KPI!$F$4, 0)
    )
  )
)</f>
        <v>0</v>
      </c>
      <c r="AD42" s="15">
        <f t="array" ref="AD42">IF(F42="", "", 
  (T42 / 1.21) 
  - IF(L42="Découverte", KPI!$C$2, 
      IF(L42="Essentiel", KPI!$C$3, 
        IF(L42="Premium", KPI!$C$4, 0)
      )
    ) 
  - N(X42) 
  - N(AA42) 
  - N(AC42)
  - IFERROR(INDEX(Stats!$G:$G, MATCH(DATE(YEAR(R42), MONTH(R42), 1), Stats!$A:$A, 0)), 35)
)</f>
        <v>253.3677686</v>
      </c>
      <c r="AE42" s="18"/>
      <c r="AF42" s="18"/>
      <c r="AG42" s="15"/>
      <c r="AH42" s="15" t="s">
        <v>299</v>
      </c>
      <c r="AI42" s="15" t="s">
        <v>97</v>
      </c>
      <c r="AJ42" s="15"/>
      <c r="AK42" s="15"/>
      <c r="AL42" s="19" t="s">
        <v>300</v>
      </c>
      <c r="AM42" s="17" t="s">
        <v>301</v>
      </c>
    </row>
    <row r="43">
      <c r="A43" s="9" t="s">
        <v>302</v>
      </c>
      <c r="B43" s="14"/>
      <c r="C43" s="10" t="s">
        <v>303</v>
      </c>
      <c r="D43" s="11" t="s">
        <v>41</v>
      </c>
      <c r="E43" s="12"/>
      <c r="F43" s="12">
        <v>45913.0</v>
      </c>
      <c r="G43" s="9"/>
      <c r="H43" s="9"/>
      <c r="I43" s="9" t="s">
        <v>304</v>
      </c>
      <c r="J43" s="11" t="s">
        <v>42</v>
      </c>
      <c r="K43" s="14"/>
      <c r="L43" s="9" t="s">
        <v>43</v>
      </c>
      <c r="M43" s="15">
        <v>1270.5</v>
      </c>
      <c r="N43" s="15"/>
      <c r="O43" s="14"/>
      <c r="P43" s="14"/>
      <c r="Q43" s="15"/>
      <c r="R43" s="12"/>
      <c r="S43" s="15"/>
      <c r="T43" s="15">
        <f t="shared" si="2"/>
        <v>1270.5</v>
      </c>
      <c r="U43" s="15">
        <f t="shared" si="3"/>
        <v>1270.5</v>
      </c>
      <c r="V43" s="16" t="s">
        <v>44</v>
      </c>
      <c r="W43" s="17">
        <v>3.5</v>
      </c>
      <c r="X43" s="15">
        <v>70.0</v>
      </c>
      <c r="Y43" s="17">
        <v>36.0</v>
      </c>
      <c r="Z43" s="17">
        <v>144.0</v>
      </c>
      <c r="AA43" s="15">
        <v>21.6</v>
      </c>
      <c r="AB43" s="16"/>
      <c r="AC43" s="15">
        <f>IF(OR(L43="", AB43=""), 0,
  IF(L43="Découverte", KPI!$F$2,
    IF(L43="Essentiel", KPI!$F$3,
      IF(L43="Premium", KPI!$F$4, 0)
    )
  )
)</f>
        <v>0</v>
      </c>
      <c r="AD43" s="15">
        <f t="array" ref="AD43">IF(F43="", "", 
  (T43 / 1.21) 
  - IF(L43="Découverte", KPI!$C$2, 
      IF(L43="Essentiel", KPI!$C$3, 
        IF(L43="Premium", KPI!$C$4, 0)
      )
    ) 
  - N(X43) 
  - N(AA43) 
  - N(AC43)
  - IFERROR(INDEX(Stats!$G:$G, MATCH(DATE(YEAR(R43), MONTH(R43), 1), Stats!$A:$A, 0)), 35)
)</f>
        <v>830.9</v>
      </c>
      <c r="AE43" s="18"/>
      <c r="AF43" s="18"/>
      <c r="AG43" s="15"/>
      <c r="AH43" s="15" t="s">
        <v>305</v>
      </c>
      <c r="AI43" s="15" t="s">
        <v>306</v>
      </c>
      <c r="AJ43" s="15"/>
      <c r="AK43" s="15"/>
      <c r="AL43" s="19"/>
      <c r="AM43" s="17" t="s">
        <v>307</v>
      </c>
    </row>
    <row r="44">
      <c r="A44" s="9" t="s">
        <v>308</v>
      </c>
      <c r="B44" s="14"/>
      <c r="C44" s="10" t="s">
        <v>309</v>
      </c>
      <c r="D44" s="11" t="s">
        <v>41</v>
      </c>
      <c r="E44" s="12">
        <v>45870.0</v>
      </c>
      <c r="F44" s="12">
        <v>45918.0</v>
      </c>
      <c r="G44" s="9"/>
      <c r="H44" s="9"/>
      <c r="I44" s="9" t="s">
        <v>310</v>
      </c>
      <c r="J44" s="11" t="s">
        <v>42</v>
      </c>
      <c r="K44" s="14"/>
      <c r="L44" s="9" t="s">
        <v>43</v>
      </c>
      <c r="M44" s="15">
        <v>726.0</v>
      </c>
      <c r="N44" s="15">
        <v>60.5</v>
      </c>
      <c r="O44" s="14"/>
      <c r="P44" s="14"/>
      <c r="Q44" s="15"/>
      <c r="R44" s="12"/>
      <c r="S44" s="15">
        <v>0.0</v>
      </c>
      <c r="T44" s="15">
        <f t="shared" si="2"/>
        <v>786.5</v>
      </c>
      <c r="U44" s="15">
        <f t="shared" si="3"/>
        <v>786.5</v>
      </c>
      <c r="V44" s="16" t="s">
        <v>44</v>
      </c>
      <c r="W44" s="17">
        <v>2.5</v>
      </c>
      <c r="X44" s="15">
        <v>70.0</v>
      </c>
      <c r="Y44" s="17">
        <v>8.0</v>
      </c>
      <c r="Z44" s="17">
        <v>32.0</v>
      </c>
      <c r="AA44" s="15">
        <v>4.8</v>
      </c>
      <c r="AB44" s="16"/>
      <c r="AC44" s="15">
        <f>IF(OR(L44="", AB44=""), 0,
  IF(L44="Découverte", KPI!$F$2,
    IF(L44="Essentiel", KPI!$F$3,
      IF(L44="Premium", KPI!$F$4, 0)
    )
  )
)</f>
        <v>0</v>
      </c>
      <c r="AD44" s="15">
        <f t="array" ref="AD44">IF(F44="", "", 
  (T44 / 1.21) 
  - IF(L44="Découverte", KPI!$C$2, 
      IF(L44="Essentiel", KPI!$C$3, 
        IF(L44="Premium", KPI!$C$4, 0)
      )
    ) 
  - N(X44) 
  - N(AA44) 
  - N(AC44)
  - IFERROR(INDEX(Stats!$G:$G, MATCH(DATE(YEAR(R44), MONTH(R44), 1), Stats!$A:$A, 0)), 35)
)</f>
        <v>447.7</v>
      </c>
      <c r="AE44" s="18"/>
      <c r="AF44" s="18"/>
      <c r="AG44" s="15"/>
      <c r="AH44" s="15" t="s">
        <v>311</v>
      </c>
      <c r="AI44" s="15" t="s">
        <v>312</v>
      </c>
      <c r="AJ44" s="15"/>
      <c r="AK44" s="15"/>
      <c r="AL44" s="19"/>
      <c r="AM44" s="17" t="s">
        <v>313</v>
      </c>
    </row>
    <row r="45">
      <c r="A45" s="9" t="s">
        <v>314</v>
      </c>
      <c r="B45" s="9" t="s">
        <v>315</v>
      </c>
      <c r="C45" s="10" t="s">
        <v>316</v>
      </c>
      <c r="D45" s="11" t="s">
        <v>41</v>
      </c>
      <c r="E45" s="12">
        <v>45870.0</v>
      </c>
      <c r="F45" s="12">
        <v>46578.0</v>
      </c>
      <c r="G45" s="9"/>
      <c r="H45" s="9"/>
      <c r="I45" s="9" t="s">
        <v>317</v>
      </c>
      <c r="J45" s="11" t="s">
        <v>65</v>
      </c>
      <c r="K45" s="14"/>
      <c r="L45" s="9" t="s">
        <v>50</v>
      </c>
      <c r="M45" s="15">
        <v>450.0</v>
      </c>
      <c r="N45" s="15">
        <v>100.0</v>
      </c>
      <c r="O45" s="14"/>
      <c r="P45" s="14"/>
      <c r="Q45" s="15"/>
      <c r="R45" s="12"/>
      <c r="S45" s="15">
        <v>150.0</v>
      </c>
      <c r="T45" s="15">
        <v>550.0</v>
      </c>
      <c r="U45" s="15">
        <v>400.0</v>
      </c>
      <c r="V45" s="16"/>
      <c r="W45" s="17">
        <v>6.5</v>
      </c>
      <c r="X45" s="15">
        <f t="shared" ref="X45:X54" si="5">IF(W45=0, " ",W45*14)</f>
        <v>91</v>
      </c>
      <c r="Y45" s="17">
        <v>100.0</v>
      </c>
      <c r="Z45" s="17">
        <v>400.0</v>
      </c>
      <c r="AA45" s="15">
        <v>60.0</v>
      </c>
      <c r="AB45" s="16"/>
      <c r="AC45" s="15">
        <f>IF(OR(L45="", AB45=""), 0,
  IF(L45="Découverte", KPI!$F$2,
    IF(L45="Essentiel", KPI!$F$3,
      IF(L45="Premium", KPI!$F$4, 0)
    )
  )
)</f>
        <v>0</v>
      </c>
      <c r="AD45" s="15">
        <f t="array" ref="AD45">IF(F45="", "", 
  (T45 / 1.21) 
  - IF(L45="Découverte", KPI!$C$2, 
      IF(L45="Essentiel", KPI!$C$3, 
        IF(L45="Premium", KPI!$C$4, 0)
      )
    ) 
  - N(X45) 
  - N(AA45) 
  - N(AC45)
  - IFERROR(INDEX(Stats!$G:$G, MATCH(DATE(YEAR(R45), MONTH(R45), 1), Stats!$A:$A, 0)), 35)
)</f>
        <v>222.2954545</v>
      </c>
      <c r="AE45" s="18"/>
      <c r="AF45" s="18"/>
      <c r="AG45" s="15"/>
      <c r="AH45" s="15" t="s">
        <v>318</v>
      </c>
      <c r="AI45" s="15" t="s">
        <v>319</v>
      </c>
      <c r="AJ45" s="15"/>
      <c r="AK45" s="15"/>
      <c r="AL45" s="19"/>
      <c r="AM45" s="17"/>
    </row>
    <row r="46">
      <c r="A46" s="9" t="s">
        <v>320</v>
      </c>
      <c r="B46" s="9" t="s">
        <v>321</v>
      </c>
      <c r="C46" s="10" t="s">
        <v>322</v>
      </c>
      <c r="D46" s="11" t="s">
        <v>41</v>
      </c>
      <c r="E46" s="12">
        <v>45870.0</v>
      </c>
      <c r="F46" s="12">
        <v>46291.0</v>
      </c>
      <c r="G46" s="9"/>
      <c r="H46" s="9"/>
      <c r="I46" s="9" t="s">
        <v>323</v>
      </c>
      <c r="J46" s="11" t="s">
        <v>65</v>
      </c>
      <c r="K46" s="14"/>
      <c r="L46" s="9" t="s">
        <v>43</v>
      </c>
      <c r="M46" s="15">
        <v>500.0</v>
      </c>
      <c r="N46" s="15">
        <v>65.0</v>
      </c>
      <c r="O46" s="14"/>
      <c r="P46" s="14"/>
      <c r="Q46" s="15"/>
      <c r="R46" s="12"/>
      <c r="S46" s="15">
        <v>0.0</v>
      </c>
      <c r="T46" s="15">
        <v>565.0</v>
      </c>
      <c r="U46" s="15">
        <v>565.0</v>
      </c>
      <c r="V46" s="16"/>
      <c r="W46" s="17">
        <v>4.0</v>
      </c>
      <c r="X46" s="15">
        <f t="shared" si="5"/>
        <v>56</v>
      </c>
      <c r="Y46" s="17">
        <v>57.0</v>
      </c>
      <c r="Z46" s="17">
        <v>228.0</v>
      </c>
      <c r="AA46" s="15">
        <v>34.2</v>
      </c>
      <c r="AB46" s="16"/>
      <c r="AC46" s="15">
        <f>IF(OR(L46="", AB46=""), 0,
  IF(L46="Découverte", KPI!$F$2,
    IF(L46="Essentiel", KPI!$F$3,
      IF(L46="Premium", KPI!$F$4, 0)
    )
  )
)</f>
        <v>0</v>
      </c>
      <c r="AD46" s="15">
        <f t="array" ref="AD46">IF(F46="", "", 
  (T46 / 1.21) 
  - IF(L46="Découverte", KPI!$C$2, 
      IF(L46="Essentiel", KPI!$C$3, 
        IF(L46="Premium", KPI!$C$4, 0)
      )
    ) 
  - N(X46) 
  - N(AA46) 
  - N(AC46)
  - IFERROR(INDEX(Stats!$G:$G, MATCH(DATE(YEAR(R46), MONTH(R46), 1), Stats!$A:$A, 0)), 35)
)</f>
        <v>249.2421488</v>
      </c>
      <c r="AE46" s="18"/>
      <c r="AF46" s="18"/>
      <c r="AG46" s="15"/>
      <c r="AH46" s="15" t="s">
        <v>324</v>
      </c>
      <c r="AI46" s="15" t="s">
        <v>325</v>
      </c>
      <c r="AJ46" s="15"/>
      <c r="AK46" s="15"/>
      <c r="AL46" s="19"/>
      <c r="AM46" s="17"/>
    </row>
    <row r="47">
      <c r="A47" s="9" t="s">
        <v>326</v>
      </c>
      <c r="B47" s="9" t="s">
        <v>327</v>
      </c>
      <c r="C47" s="10" t="s">
        <v>328</v>
      </c>
      <c r="D47" s="11" t="s">
        <v>41</v>
      </c>
      <c r="E47" s="12">
        <v>45870.0</v>
      </c>
      <c r="F47" s="12">
        <v>46284.0</v>
      </c>
      <c r="G47" s="9"/>
      <c r="H47" s="9"/>
      <c r="I47" s="9" t="s">
        <v>329</v>
      </c>
      <c r="J47" s="11" t="s">
        <v>65</v>
      </c>
      <c r="K47" s="14"/>
      <c r="L47" s="9" t="s">
        <v>43</v>
      </c>
      <c r="M47" s="15">
        <v>500.0</v>
      </c>
      <c r="N47" s="15">
        <v>85.0</v>
      </c>
      <c r="O47" s="14"/>
      <c r="P47" s="14"/>
      <c r="Q47" s="15"/>
      <c r="R47" s="12"/>
      <c r="S47" s="15">
        <v>150.0</v>
      </c>
      <c r="T47" s="15">
        <v>585.0</v>
      </c>
      <c r="U47" s="15">
        <v>435.0</v>
      </c>
      <c r="V47" s="16"/>
      <c r="W47" s="17">
        <v>4.5</v>
      </c>
      <c r="X47" s="15">
        <f t="shared" si="5"/>
        <v>63</v>
      </c>
      <c r="Y47" s="17">
        <v>70.0</v>
      </c>
      <c r="Z47" s="17">
        <v>280.0</v>
      </c>
      <c r="AA47" s="15">
        <v>42.0</v>
      </c>
      <c r="AB47" s="16"/>
      <c r="AC47" s="15">
        <f>IF(OR(L47="", AB47=""), 0,
  IF(L47="Découverte", KPI!$F$2,
    IF(L47="Essentiel", KPI!$F$3,
      IF(L47="Premium", KPI!$F$4, 0)
    )
  )
)</f>
        <v>0</v>
      </c>
      <c r="AD47" s="15">
        <f t="array" ref="AD47">IF(F47="", "", 
  (T47 / 1.21) 
  - IF(L47="Découverte", KPI!$C$2, 
      IF(L47="Essentiel", KPI!$C$3, 
        IF(L47="Premium", KPI!$C$4, 0)
      )
    ) 
  - N(X47) 
  - N(AA47) 
  - N(AC47)
  - IFERROR(INDEX(Stats!$G:$G, MATCH(DATE(YEAR(R47), MONTH(R47), 1), Stats!$A:$A, 0)), 35)
)</f>
        <v>250.9710744</v>
      </c>
      <c r="AE47" s="18"/>
      <c r="AF47" s="18"/>
      <c r="AG47" s="15"/>
      <c r="AH47" s="15" t="s">
        <v>330</v>
      </c>
      <c r="AI47" s="15" t="s">
        <v>147</v>
      </c>
      <c r="AJ47" s="15"/>
      <c r="AK47" s="15"/>
      <c r="AL47" s="19" t="s">
        <v>331</v>
      </c>
      <c r="AM47" s="17"/>
    </row>
    <row r="48">
      <c r="A48" s="9" t="s">
        <v>332</v>
      </c>
      <c r="B48" s="9" t="s">
        <v>333</v>
      </c>
      <c r="C48" s="10" t="s">
        <v>334</v>
      </c>
      <c r="D48" s="11" t="s">
        <v>41</v>
      </c>
      <c r="E48" s="12">
        <v>45870.0</v>
      </c>
      <c r="F48" s="12">
        <v>46271.0</v>
      </c>
      <c r="G48" s="9"/>
      <c r="H48" s="9"/>
      <c r="I48" s="9" t="s">
        <v>335</v>
      </c>
      <c r="J48" s="11" t="s">
        <v>65</v>
      </c>
      <c r="K48" s="14"/>
      <c r="L48" s="9" t="s">
        <v>43</v>
      </c>
      <c r="M48" s="15">
        <v>500.0</v>
      </c>
      <c r="N48" s="15">
        <v>70.0</v>
      </c>
      <c r="O48" s="14"/>
      <c r="P48" s="14"/>
      <c r="Q48" s="15"/>
      <c r="R48" s="12"/>
      <c r="S48" s="15">
        <v>150.0</v>
      </c>
      <c r="T48" s="15">
        <v>570.0</v>
      </c>
      <c r="U48" s="15">
        <v>420.0</v>
      </c>
      <c r="V48" s="16"/>
      <c r="W48" s="17">
        <v>4.5</v>
      </c>
      <c r="X48" s="15">
        <f t="shared" si="5"/>
        <v>63</v>
      </c>
      <c r="Y48" s="17">
        <v>67.0</v>
      </c>
      <c r="Z48" s="17">
        <v>268.0</v>
      </c>
      <c r="AA48" s="15">
        <v>40.2</v>
      </c>
      <c r="AB48" s="16"/>
      <c r="AC48" s="15">
        <f>IF(OR(L48="", AB48=""), 0,
  IF(L48="Découverte", KPI!$F$2,
    IF(L48="Essentiel", KPI!$F$3,
      IF(L48="Premium", KPI!$F$4, 0)
    )
  )
)</f>
        <v>0</v>
      </c>
      <c r="AD48" s="15">
        <f t="array" ref="AD48">IF(F48="", "", 
  (T48 / 1.21) 
  - IF(L48="Découverte", KPI!$C$2, 
      IF(L48="Essentiel", KPI!$C$3, 
        IF(L48="Premium", KPI!$C$4, 0)
      )
    ) 
  - N(X48) 
  - N(AA48) 
  - N(AC48)
  - IFERROR(INDEX(Stats!$G:$G, MATCH(DATE(YEAR(R48), MONTH(R48), 1), Stats!$A:$A, 0)), 35)
)</f>
        <v>240.3743802</v>
      </c>
      <c r="AE48" s="18"/>
      <c r="AF48" s="18"/>
      <c r="AG48" s="15"/>
      <c r="AH48" s="15" t="s">
        <v>336</v>
      </c>
      <c r="AI48" s="15" t="s">
        <v>118</v>
      </c>
      <c r="AJ48" s="15"/>
      <c r="AK48" s="15"/>
      <c r="AL48" s="19" t="s">
        <v>337</v>
      </c>
      <c r="AM48" s="17" t="s">
        <v>338</v>
      </c>
    </row>
    <row r="49">
      <c r="A49" s="9" t="s">
        <v>339</v>
      </c>
      <c r="B49" s="9" t="s">
        <v>340</v>
      </c>
      <c r="C49" s="10" t="s">
        <v>341</v>
      </c>
      <c r="D49" s="11" t="s">
        <v>41</v>
      </c>
      <c r="E49" s="12">
        <v>45870.0</v>
      </c>
      <c r="F49" s="12">
        <v>46269.0</v>
      </c>
      <c r="G49" s="9"/>
      <c r="H49" s="9"/>
      <c r="I49" s="9" t="s">
        <v>342</v>
      </c>
      <c r="J49" s="11" t="s">
        <v>65</v>
      </c>
      <c r="K49" s="14"/>
      <c r="L49" s="9" t="s">
        <v>50</v>
      </c>
      <c r="M49" s="15">
        <v>450.0</v>
      </c>
      <c r="N49" s="15">
        <v>80.0</v>
      </c>
      <c r="O49" s="14"/>
      <c r="P49" s="14"/>
      <c r="Q49" s="15"/>
      <c r="R49" s="12"/>
      <c r="S49" s="15">
        <v>150.0</v>
      </c>
      <c r="T49" s="15">
        <v>530.0</v>
      </c>
      <c r="U49" s="15">
        <v>380.0</v>
      </c>
      <c r="V49" s="16"/>
      <c r="W49" s="17">
        <v>4.5</v>
      </c>
      <c r="X49" s="15">
        <f t="shared" si="5"/>
        <v>63</v>
      </c>
      <c r="Y49" s="17">
        <v>60.0</v>
      </c>
      <c r="Z49" s="17">
        <v>240.0</v>
      </c>
      <c r="AA49" s="15">
        <v>36.0</v>
      </c>
      <c r="AB49" s="16"/>
      <c r="AC49" s="15">
        <f>IF(OR(L49="", AB49=""), 0,
  IF(L49="Découverte", KPI!$F$2,
    IF(L49="Essentiel", KPI!$F$3,
      IF(L49="Premium", KPI!$F$4, 0)
    )
  )
)</f>
        <v>0</v>
      </c>
      <c r="AD49" s="15">
        <f t="array" ref="AD49">IF(F49="", "", 
  (T49 / 1.21) 
  - IF(L49="Découverte", KPI!$C$2, 
      IF(L49="Essentiel", KPI!$C$3, 
        IF(L49="Premium", KPI!$C$4, 0)
      )
    ) 
  - N(X49) 
  - N(AA49) 
  - N(AC49)
  - IFERROR(INDEX(Stats!$G:$G, MATCH(DATE(YEAR(R49), MONTH(R49), 1), Stats!$A:$A, 0)), 35)
)</f>
        <v>257.7665289</v>
      </c>
      <c r="AE49" s="18"/>
      <c r="AF49" s="18"/>
      <c r="AG49" s="15"/>
      <c r="AH49" s="15" t="s">
        <v>343</v>
      </c>
      <c r="AI49" s="15" t="s">
        <v>203</v>
      </c>
      <c r="AJ49" s="15"/>
      <c r="AK49" s="15"/>
      <c r="AL49" s="19" t="s">
        <v>344</v>
      </c>
      <c r="AM49" s="17"/>
    </row>
    <row r="50">
      <c r="A50" s="9" t="s">
        <v>345</v>
      </c>
      <c r="B50" s="9" t="s">
        <v>346</v>
      </c>
      <c r="C50" s="10" t="s">
        <v>347</v>
      </c>
      <c r="D50" s="11" t="s">
        <v>41</v>
      </c>
      <c r="E50" s="12">
        <v>45870.0</v>
      </c>
      <c r="F50" s="12">
        <v>46249.0</v>
      </c>
      <c r="G50" s="9"/>
      <c r="H50" s="9"/>
      <c r="I50" s="9" t="s">
        <v>348</v>
      </c>
      <c r="J50" s="11" t="s">
        <v>65</v>
      </c>
      <c r="K50" s="14"/>
      <c r="L50" s="9" t="s">
        <v>43</v>
      </c>
      <c r="M50" s="15">
        <v>500.0</v>
      </c>
      <c r="N50" s="15"/>
      <c r="O50" s="14"/>
      <c r="P50" s="14"/>
      <c r="Q50" s="15"/>
      <c r="R50" s="12"/>
      <c r="S50" s="15">
        <v>150.0</v>
      </c>
      <c r="T50" s="15">
        <v>500.0</v>
      </c>
      <c r="U50" s="15">
        <v>350.0</v>
      </c>
      <c r="V50" s="16"/>
      <c r="W50" s="17">
        <v>2.0</v>
      </c>
      <c r="X50" s="15">
        <f t="shared" si="5"/>
        <v>28</v>
      </c>
      <c r="Y50" s="17">
        <v>4.0</v>
      </c>
      <c r="Z50" s="17">
        <v>16.0</v>
      </c>
      <c r="AA50" s="15">
        <v>2.4</v>
      </c>
      <c r="AB50" s="16"/>
      <c r="AC50" s="15">
        <f>IF(OR(L50="", AB50=""), 0,
  IF(L50="Découverte", KPI!$F$2,
    IF(L50="Essentiel", KPI!$F$3,
      IF(L50="Premium", KPI!$F$4, 0)
    )
  )
)</f>
        <v>0</v>
      </c>
      <c r="AD50" s="15">
        <f t="array" ref="AD50">IF(F50="", "", 
  (T50 / 1.21) 
  - IF(L50="Découverte", KPI!$C$2, 
      IF(L50="Essentiel", KPI!$C$3, 
        IF(L50="Premium", KPI!$C$4, 0)
      )
    ) 
  - N(X50) 
  - N(AA50) 
  - N(AC50)
  - IFERROR(INDEX(Stats!$G:$G, MATCH(DATE(YEAR(R50), MONTH(R50), 1), Stats!$A:$A, 0)), 35)
)</f>
        <v>255.3231405</v>
      </c>
      <c r="AE50" s="18"/>
      <c r="AF50" s="18"/>
      <c r="AG50" s="15"/>
      <c r="AH50" s="15" t="s">
        <v>349</v>
      </c>
      <c r="AI50" s="15" t="s">
        <v>350</v>
      </c>
      <c r="AJ50" s="15"/>
      <c r="AK50" s="15"/>
      <c r="AL50" s="19"/>
      <c r="AM50" s="17"/>
    </row>
    <row r="51">
      <c r="A51" s="9" t="s">
        <v>351</v>
      </c>
      <c r="B51" s="9" t="s">
        <v>352</v>
      </c>
      <c r="C51" s="10" t="s">
        <v>353</v>
      </c>
      <c r="D51" s="11" t="s">
        <v>41</v>
      </c>
      <c r="E51" s="12">
        <v>45870.0</v>
      </c>
      <c r="F51" s="12">
        <v>46235.0</v>
      </c>
      <c r="G51" s="14"/>
      <c r="H51" s="14"/>
      <c r="I51" s="14"/>
      <c r="J51" s="11" t="s">
        <v>65</v>
      </c>
      <c r="K51" s="14"/>
      <c r="L51" s="9" t="s">
        <v>43</v>
      </c>
      <c r="M51" s="15">
        <v>500.0</v>
      </c>
      <c r="N51" s="15">
        <v>100.0</v>
      </c>
      <c r="O51" s="14"/>
      <c r="P51" s="14"/>
      <c r="Q51" s="15"/>
      <c r="R51" s="12"/>
      <c r="S51" s="15">
        <v>0.0</v>
      </c>
      <c r="T51" s="15">
        <v>600.0</v>
      </c>
      <c r="U51" s="15">
        <v>600.0</v>
      </c>
      <c r="V51" s="16"/>
      <c r="W51" s="17"/>
      <c r="X51" s="15" t="str">
        <f t="shared" si="5"/>
        <v> </v>
      </c>
      <c r="Y51" s="17"/>
      <c r="Z51" s="17" t="str">
        <f>IF(Y51=0,"", Y51 * 4)</f>
        <v/>
      </c>
      <c r="AA51" s="15">
        <f>IF(Z51=0,"", Z51 * 0.15)</f>
        <v>0</v>
      </c>
      <c r="AB51" s="16"/>
      <c r="AC51" s="15">
        <f>IF(OR(L51="", AB51=""), 0,
  IF(L51="Découverte", KPI!$F$2,
    IF(L51="Essentiel", KPI!$F$3,
      IF(L51="Premium", KPI!$F$4, 0)
    )
  )
)</f>
        <v>0</v>
      </c>
      <c r="AD51" s="15">
        <f t="array" ref="AD51">IF(F51="", "", 
  (T51 / 1.21) 
  - IF(L51="Découverte", KPI!$C$2, 
      IF(L51="Essentiel", KPI!$C$3, 
        IF(L51="Premium", KPI!$C$4, 0)
      )
    ) 
  - N(X51) 
  - N(AA51) 
  - N(AC51)
  - IFERROR(INDEX(Stats!$G:$G, MATCH(DATE(YEAR(R51), MONTH(R51), 1), Stats!$A:$A, 0)), 35)
)</f>
        <v>368.3677686</v>
      </c>
      <c r="AE51" s="18"/>
      <c r="AF51" s="18"/>
      <c r="AG51" s="15"/>
      <c r="AH51" s="15" t="s">
        <v>354</v>
      </c>
      <c r="AI51" s="15" t="s">
        <v>355</v>
      </c>
      <c r="AJ51" s="15"/>
      <c r="AK51" s="15"/>
      <c r="AL51" s="19"/>
      <c r="AM51" s="17"/>
    </row>
    <row r="52">
      <c r="A52" s="9" t="s">
        <v>356</v>
      </c>
      <c r="B52" s="9" t="s">
        <v>357</v>
      </c>
      <c r="C52" s="10" t="s">
        <v>358</v>
      </c>
      <c r="D52" s="11" t="s">
        <v>41</v>
      </c>
      <c r="E52" s="12">
        <v>45870.0</v>
      </c>
      <c r="F52" s="12">
        <v>46164.0</v>
      </c>
      <c r="G52" s="9"/>
      <c r="H52" s="9"/>
      <c r="I52" s="9" t="s">
        <v>359</v>
      </c>
      <c r="J52" s="11" t="s">
        <v>65</v>
      </c>
      <c r="K52" s="14"/>
      <c r="L52" s="9" t="s">
        <v>50</v>
      </c>
      <c r="M52" s="15">
        <v>450.0</v>
      </c>
      <c r="N52" s="15">
        <v>90.0</v>
      </c>
      <c r="O52" s="14"/>
      <c r="P52" s="14"/>
      <c r="Q52" s="15"/>
      <c r="R52" s="12"/>
      <c r="S52" s="15">
        <v>0.0</v>
      </c>
      <c r="T52" s="15">
        <v>540.0</v>
      </c>
      <c r="U52" s="15">
        <v>540.0</v>
      </c>
      <c r="V52" s="16"/>
      <c r="W52" s="17">
        <v>7.0</v>
      </c>
      <c r="X52" s="15">
        <f t="shared" si="5"/>
        <v>98</v>
      </c>
      <c r="Y52" s="17">
        <v>99.0</v>
      </c>
      <c r="Z52" s="17">
        <v>396.0</v>
      </c>
      <c r="AA52" s="15">
        <v>59.4</v>
      </c>
      <c r="AB52" s="16"/>
      <c r="AC52" s="15">
        <f>IF(OR(L52="", AB52=""), 0,
  IF(L52="Découverte", KPI!$F$2,
    IF(L52="Essentiel", KPI!$F$3,
      IF(L52="Premium", KPI!$F$4, 0)
    )
  )
)</f>
        <v>0</v>
      </c>
      <c r="AD52" s="15">
        <f t="array" ref="AD52">IF(F52="", "", 
  (T52 / 1.21) 
  - IF(L52="Découverte", KPI!$C$2, 
      IF(L52="Essentiel", KPI!$C$3, 
        IF(L52="Premium", KPI!$C$4, 0)
      )
    ) 
  - N(X52) 
  - N(AA52) 
  - N(AC52)
  - IFERROR(INDEX(Stats!$G:$G, MATCH(DATE(YEAR(R52), MONTH(R52), 1), Stats!$A:$A, 0)), 35)
)</f>
        <v>207.6309917</v>
      </c>
      <c r="AE52" s="18"/>
      <c r="AF52" s="18"/>
      <c r="AG52" s="15"/>
      <c r="AH52" s="15" t="s">
        <v>360</v>
      </c>
      <c r="AI52" s="15" t="s">
        <v>350</v>
      </c>
      <c r="AJ52" s="15"/>
      <c r="AK52" s="15"/>
      <c r="AL52" s="19"/>
      <c r="AM52" s="17"/>
    </row>
    <row r="53">
      <c r="A53" s="9" t="s">
        <v>361</v>
      </c>
      <c r="B53" s="9" t="s">
        <v>362</v>
      </c>
      <c r="C53" s="10" t="s">
        <v>363</v>
      </c>
      <c r="D53" s="11" t="s">
        <v>41</v>
      </c>
      <c r="E53" s="12">
        <v>45870.0</v>
      </c>
      <c r="F53" s="12">
        <v>46223.0</v>
      </c>
      <c r="G53" s="13">
        <v>0.8333333333333334</v>
      </c>
      <c r="H53" s="13">
        <v>0.9583333333333334</v>
      </c>
      <c r="I53" s="9" t="s">
        <v>364</v>
      </c>
      <c r="J53" s="11" t="s">
        <v>65</v>
      </c>
      <c r="K53" s="9"/>
      <c r="L53" s="9" t="s">
        <v>43</v>
      </c>
      <c r="M53" s="15">
        <v>400.0</v>
      </c>
      <c r="N53" s="15">
        <v>100.0</v>
      </c>
      <c r="O53" s="14"/>
      <c r="P53" s="14"/>
      <c r="Q53" s="15"/>
      <c r="R53" s="12">
        <v>45930.0</v>
      </c>
      <c r="S53" s="15">
        <v>150.0</v>
      </c>
      <c r="T53" s="15">
        <v>500.0</v>
      </c>
      <c r="U53" s="15">
        <v>350.0</v>
      </c>
      <c r="V53" s="16"/>
      <c r="W53" s="17">
        <v>9.0</v>
      </c>
      <c r="X53" s="15">
        <f t="shared" si="5"/>
        <v>126</v>
      </c>
      <c r="Y53" s="17">
        <v>170.0</v>
      </c>
      <c r="Z53" s="17">
        <v>680.0</v>
      </c>
      <c r="AA53" s="15">
        <v>102.0</v>
      </c>
      <c r="AB53" s="16"/>
      <c r="AC53" s="15">
        <f>IF(OR(L53="", AB53=""), 0,
  IF(L53="Découverte", KPI!$F$2,
    IF(L53="Essentiel", KPI!$F$3,
      IF(L53="Premium", KPI!$F$4, 0)
    )
  )
)</f>
        <v>0</v>
      </c>
      <c r="AD53" s="15">
        <f t="array" ref="AD53">IF(F53="", "", 
  (T53 / 1.21) 
  - IF(L53="Découverte", KPI!$C$2, 
      IF(L53="Essentiel", KPI!$C$3, 
        IF(L53="Premium", KPI!$C$4, 0)
      )
    ) 
  - N(X53) 
  - N(AA53) 
  - N(AC53)
  - IFERROR(INDEX(Stats!$G:$G, MATCH(DATE(YEAR(R53), MONTH(R53), 1), Stats!$A:$A, 0)), 35)
)</f>
        <v>60.17380716</v>
      </c>
      <c r="AE53" s="18"/>
      <c r="AF53" s="18"/>
      <c r="AG53" s="15" t="s">
        <v>365</v>
      </c>
      <c r="AH53" s="15" t="s">
        <v>366</v>
      </c>
      <c r="AI53" s="15" t="s">
        <v>367</v>
      </c>
      <c r="AJ53" s="15"/>
      <c r="AK53" s="15"/>
      <c r="AL53" s="19" t="s">
        <v>368</v>
      </c>
      <c r="AM53" s="17"/>
    </row>
    <row r="54">
      <c r="A54" s="9" t="s">
        <v>369</v>
      </c>
      <c r="B54" s="9" t="s">
        <v>370</v>
      </c>
      <c r="C54" s="10" t="s">
        <v>371</v>
      </c>
      <c r="D54" s="11" t="s">
        <v>372</v>
      </c>
      <c r="E54" s="12">
        <v>45870.0</v>
      </c>
      <c r="F54" s="12">
        <v>46046.0</v>
      </c>
      <c r="G54" s="9"/>
      <c r="H54" s="9"/>
      <c r="I54" s="9" t="s">
        <v>373</v>
      </c>
      <c r="J54" s="20"/>
      <c r="K54" s="14"/>
      <c r="L54" s="9" t="s">
        <v>43</v>
      </c>
      <c r="M54" s="15">
        <v>450.0</v>
      </c>
      <c r="N54" s="15">
        <v>50.0</v>
      </c>
      <c r="O54" s="14"/>
      <c r="P54" s="14"/>
      <c r="Q54" s="15"/>
      <c r="R54" s="12">
        <v>45896.0</v>
      </c>
      <c r="S54" s="15">
        <v>0.0</v>
      </c>
      <c r="T54" s="15">
        <v>500.0</v>
      </c>
      <c r="U54" s="15">
        <v>500.0</v>
      </c>
      <c r="V54" s="16"/>
      <c r="W54" s="17">
        <v>3.0</v>
      </c>
      <c r="X54" s="15">
        <f t="shared" si="5"/>
        <v>42</v>
      </c>
      <c r="Y54" s="17">
        <v>18.0</v>
      </c>
      <c r="Z54" s="17">
        <v>72.0</v>
      </c>
      <c r="AA54" s="15">
        <v>10.8</v>
      </c>
      <c r="AB54" s="16"/>
      <c r="AC54" s="15">
        <f>IF(OR(L54="", AB54=""), 0,
  IF(L54="Découverte", KPI!$F$2,
    IF(L54="Essentiel", KPI!$F$3,
      IF(L54="Premium", KPI!$F$4, 0)
    )
  )
)</f>
        <v>0</v>
      </c>
      <c r="AD54" s="15">
        <f t="array" ref="AD54">IF(F54="", "", 
  (T54 / 1.21) 
  - IF(L54="Découverte", KPI!$C$2, 
      IF(L54="Essentiel", KPI!$C$3, 
        IF(L54="Premium", KPI!$C$4, 0)
      )
    ) 
  - N(X54) 
  - N(AA54) 
  - N(AC54)
  - IFERROR(INDEX(Stats!$G:$G, MATCH(DATE(YEAR(R54), MONTH(R54), 1), Stats!$A:$A, 0)), 35)
)</f>
        <v>232.9231405</v>
      </c>
      <c r="AE54" s="18"/>
      <c r="AF54" s="18"/>
      <c r="AG54" s="15"/>
      <c r="AH54" s="15" t="s">
        <v>374</v>
      </c>
      <c r="AI54" s="15" t="s">
        <v>236</v>
      </c>
      <c r="AJ54" s="15"/>
      <c r="AK54" s="15"/>
      <c r="AL54" s="19" t="s">
        <v>375</v>
      </c>
      <c r="AM54" s="17"/>
    </row>
    <row r="55">
      <c r="A55" s="9" t="s">
        <v>376</v>
      </c>
      <c r="B55" s="9" t="s">
        <v>377</v>
      </c>
      <c r="C55" s="10" t="s">
        <v>378</v>
      </c>
      <c r="D55" s="11" t="s">
        <v>41</v>
      </c>
      <c r="E55" s="12">
        <v>45870.0</v>
      </c>
      <c r="F55" s="12">
        <v>46018.0</v>
      </c>
      <c r="G55" s="9"/>
      <c r="H55" s="13"/>
      <c r="I55" s="9" t="s">
        <v>379</v>
      </c>
      <c r="J55" s="20"/>
      <c r="K55" s="14"/>
      <c r="L55" s="9" t="s">
        <v>50</v>
      </c>
      <c r="M55" s="15">
        <v>450.0</v>
      </c>
      <c r="N55" s="15">
        <v>50.0</v>
      </c>
      <c r="O55" s="14"/>
      <c r="P55" s="14"/>
      <c r="Q55" s="15"/>
      <c r="R55" s="12">
        <v>45926.0</v>
      </c>
      <c r="S55" s="15">
        <v>150.0</v>
      </c>
      <c r="T55" s="15">
        <v>500.0</v>
      </c>
      <c r="U55" s="15">
        <v>350.0</v>
      </c>
      <c r="V55" s="16" t="s">
        <v>380</v>
      </c>
      <c r="W55" s="17">
        <v>3.0</v>
      </c>
      <c r="X55" s="15">
        <v>70.0</v>
      </c>
      <c r="Y55" s="17">
        <v>26.0</v>
      </c>
      <c r="Z55" s="17">
        <v>104.0</v>
      </c>
      <c r="AA55" s="15">
        <v>15.6</v>
      </c>
      <c r="AB55" s="16"/>
      <c r="AC55" s="15">
        <f>IF(OR(L55="", AB55=""), 0,
  IF(L55="Découverte", KPI!$F$2,
    IF(L55="Essentiel", KPI!$F$3,
      IF(L55="Premium", KPI!$F$4, 0)
    )
  )
)</f>
        <v>0</v>
      </c>
      <c r="AD55" s="15">
        <f t="array" ref="AD55">IF(F55="", "", 
  (T55 / 1.21) 
  - IF(L55="Découverte", KPI!$C$2, 
      IF(L55="Essentiel", KPI!$C$3, 
        IF(L55="Premium", KPI!$C$4, 0)
      )
    ) 
  - N(X55) 
  - N(AA55) 
  - N(AC55)
  - IFERROR(INDEX(Stats!$G:$G, MATCH(DATE(YEAR(R55), MONTH(R55), 1), Stats!$A:$A, 0)), 35)
)</f>
        <v>248.8238072</v>
      </c>
      <c r="AE55" s="18"/>
      <c r="AF55" s="18"/>
      <c r="AG55" s="15"/>
      <c r="AH55" s="15" t="s">
        <v>381</v>
      </c>
      <c r="AI55" s="15" t="s">
        <v>46</v>
      </c>
      <c r="AJ55" s="15" t="s">
        <v>382</v>
      </c>
      <c r="AK55" s="15"/>
      <c r="AL55" s="19" t="s">
        <v>383</v>
      </c>
      <c r="AM55" s="17" t="s">
        <v>384</v>
      </c>
    </row>
    <row r="56">
      <c r="A56" s="9" t="s">
        <v>385</v>
      </c>
      <c r="B56" s="9" t="s">
        <v>386</v>
      </c>
      <c r="C56" s="10" t="s">
        <v>387</v>
      </c>
      <c r="D56" s="11" t="s">
        <v>41</v>
      </c>
      <c r="E56" s="12">
        <v>45870.0</v>
      </c>
      <c r="F56" s="12">
        <v>45940.0</v>
      </c>
      <c r="G56" s="9"/>
      <c r="H56" s="9"/>
      <c r="I56" s="9" t="s">
        <v>388</v>
      </c>
      <c r="J56" s="20"/>
      <c r="K56" s="14"/>
      <c r="L56" s="9" t="s">
        <v>43</v>
      </c>
      <c r="M56" s="15">
        <v>500.0</v>
      </c>
      <c r="N56" s="15">
        <v>80.0</v>
      </c>
      <c r="O56" s="14"/>
      <c r="P56" s="14"/>
      <c r="Q56" s="15"/>
      <c r="R56" s="12"/>
      <c r="S56" s="15">
        <v>0.0</v>
      </c>
      <c r="T56" s="15">
        <v>580.0</v>
      </c>
      <c r="U56" s="15">
        <v>580.0</v>
      </c>
      <c r="V56" s="16" t="s">
        <v>44</v>
      </c>
      <c r="W56" s="17">
        <v>5.0</v>
      </c>
      <c r="X56" s="15">
        <v>70.0</v>
      </c>
      <c r="Y56" s="17">
        <v>76.0</v>
      </c>
      <c r="Z56" s="17">
        <v>304.0</v>
      </c>
      <c r="AA56" s="15">
        <v>45.6</v>
      </c>
      <c r="AB56" s="16"/>
      <c r="AC56" s="15">
        <f>IF(OR(L56="", AB56=""), 0,
  IF(L56="Découverte", KPI!$F$2,
    IF(L56="Essentiel", KPI!$F$3,
      IF(L56="Premium", KPI!$F$4, 0)
    )
  )
)</f>
        <v>0</v>
      </c>
      <c r="AD56" s="15">
        <f t="array" ref="AD56">IF(F56="", "", 
  (T56 / 1.21) 
  - IF(L56="Découverte", KPI!$C$2, 
      IF(L56="Essentiel", KPI!$C$3, 
        IF(L56="Premium", KPI!$C$4, 0)
      )
    ) 
  - N(X56) 
  - N(AA56) 
  - N(AC56)
  - IFERROR(INDEX(Stats!$G:$G, MATCH(DATE(YEAR(R56), MONTH(R56), 1), Stats!$A:$A, 0)), 35)
)</f>
        <v>236.238843</v>
      </c>
      <c r="AE56" s="18"/>
      <c r="AF56" s="18"/>
      <c r="AG56" s="15"/>
      <c r="AH56" s="15" t="s">
        <v>389</v>
      </c>
      <c r="AI56" s="15" t="s">
        <v>83</v>
      </c>
      <c r="AJ56" s="15"/>
      <c r="AK56" s="15"/>
      <c r="AL56" s="19" t="s">
        <v>390</v>
      </c>
      <c r="AM56" s="17" t="s">
        <v>391</v>
      </c>
    </row>
    <row r="57">
      <c r="A57" s="9" t="s">
        <v>392</v>
      </c>
      <c r="B57" s="9" t="s">
        <v>393</v>
      </c>
      <c r="C57" s="10" t="s">
        <v>394</v>
      </c>
      <c r="D57" s="11" t="s">
        <v>41</v>
      </c>
      <c r="E57" s="12">
        <v>45870.0</v>
      </c>
      <c r="F57" s="12">
        <v>45934.0</v>
      </c>
      <c r="G57" s="9"/>
      <c r="H57" s="9"/>
      <c r="I57" s="9" t="s">
        <v>395</v>
      </c>
      <c r="J57" s="11" t="s">
        <v>65</v>
      </c>
      <c r="K57" s="14"/>
      <c r="L57" s="9" t="s">
        <v>43</v>
      </c>
      <c r="M57" s="15">
        <v>500.0</v>
      </c>
      <c r="N57" s="15">
        <v>50.0</v>
      </c>
      <c r="O57" s="14"/>
      <c r="P57" s="14"/>
      <c r="Q57" s="15"/>
      <c r="R57" s="12"/>
      <c r="S57" s="15">
        <v>150.0</v>
      </c>
      <c r="T57" s="15">
        <v>550.0</v>
      </c>
      <c r="U57" s="15">
        <v>400.0</v>
      </c>
      <c r="V57" s="16" t="s">
        <v>44</v>
      </c>
      <c r="W57" s="17">
        <v>3.0</v>
      </c>
      <c r="X57" s="15">
        <v>70.0</v>
      </c>
      <c r="Y57" s="17">
        <v>28.0</v>
      </c>
      <c r="Z57" s="17">
        <v>112.0</v>
      </c>
      <c r="AA57" s="15">
        <v>16.8</v>
      </c>
      <c r="AB57" s="16"/>
      <c r="AC57" s="15">
        <f>IF(OR(L57="", AB57=""), 0,
  IF(L57="Découverte", KPI!$F$2,
    IF(L57="Essentiel", KPI!$F$3,
      IF(L57="Premium", KPI!$F$4, 0)
    )
  )
)</f>
        <v>0</v>
      </c>
      <c r="AD57" s="15">
        <f t="array" ref="AD57">IF(F57="", "", 
  (T57 / 1.21) 
  - IF(L57="Découverte", KPI!$C$2, 
      IF(L57="Essentiel", KPI!$C$3, 
        IF(L57="Premium", KPI!$C$4, 0)
      )
    ) 
  - N(X57) 
  - N(AA57) 
  - N(AC57)
  - IFERROR(INDEX(Stats!$G:$G, MATCH(DATE(YEAR(R57), MONTH(R57), 1), Stats!$A:$A, 0)), 35)
)</f>
        <v>240.2454545</v>
      </c>
      <c r="AE57" s="18"/>
      <c r="AF57" s="18"/>
      <c r="AG57" s="15"/>
      <c r="AH57" s="15" t="s">
        <v>396</v>
      </c>
      <c r="AI57" s="15" t="s">
        <v>147</v>
      </c>
      <c r="AJ57" s="15"/>
      <c r="AK57" s="15"/>
      <c r="AL57" s="19" t="s">
        <v>397</v>
      </c>
      <c r="AM57" s="17" t="s">
        <v>398</v>
      </c>
    </row>
    <row r="58">
      <c r="A58" s="9" t="s">
        <v>399</v>
      </c>
      <c r="B58" s="9" t="s">
        <v>400</v>
      </c>
      <c r="C58" s="10" t="s">
        <v>401</v>
      </c>
      <c r="D58" s="11" t="s">
        <v>41</v>
      </c>
      <c r="E58" s="12">
        <v>45870.0</v>
      </c>
      <c r="F58" s="12">
        <v>45934.0</v>
      </c>
      <c r="G58" s="9"/>
      <c r="H58" s="9"/>
      <c r="I58" s="9" t="s">
        <v>402</v>
      </c>
      <c r="J58" s="11" t="s">
        <v>65</v>
      </c>
      <c r="K58" s="14"/>
      <c r="L58" s="9" t="s">
        <v>50</v>
      </c>
      <c r="M58" s="15">
        <v>450.0</v>
      </c>
      <c r="N58" s="15">
        <v>110.0</v>
      </c>
      <c r="O58" s="14"/>
      <c r="P58" s="14"/>
      <c r="Q58" s="15"/>
      <c r="R58" s="12"/>
      <c r="S58" s="15">
        <v>0.0</v>
      </c>
      <c r="T58" s="15">
        <v>560.0</v>
      </c>
      <c r="U58" s="15">
        <v>560.0</v>
      </c>
      <c r="V58" s="16" t="s">
        <v>44</v>
      </c>
      <c r="W58" s="17">
        <v>5.5</v>
      </c>
      <c r="X58" s="15">
        <v>70.0</v>
      </c>
      <c r="Y58" s="17">
        <v>78.0</v>
      </c>
      <c r="Z58" s="17">
        <v>312.0</v>
      </c>
      <c r="AA58" s="15">
        <v>46.8</v>
      </c>
      <c r="AB58" s="16"/>
      <c r="AC58" s="15">
        <f>IF(OR(L58="", AB58=""), 0,
  IF(L58="Découverte", KPI!$F$2,
    IF(L58="Essentiel", KPI!$F$3,
      IF(L58="Premium", KPI!$F$4, 0)
    )
  )
)</f>
        <v>0</v>
      </c>
      <c r="AD58" s="15">
        <f t="array" ref="AD58">IF(F58="", "", 
  (T58 / 1.21) 
  - IF(L58="Découverte", KPI!$C$2, 
      IF(L58="Essentiel", KPI!$C$3, 
        IF(L58="Premium", KPI!$C$4, 0)
      )
    ) 
  - N(X58) 
  - N(AA58) 
  - N(AC58)
  - IFERROR(INDEX(Stats!$G:$G, MATCH(DATE(YEAR(R58), MONTH(R58), 1), Stats!$A:$A, 0)), 35)
)</f>
        <v>264.7599174</v>
      </c>
      <c r="AE58" s="18"/>
      <c r="AF58" s="18"/>
      <c r="AG58" s="15"/>
      <c r="AH58" s="15" t="s">
        <v>403</v>
      </c>
      <c r="AI58" s="15" t="s">
        <v>180</v>
      </c>
      <c r="AJ58" s="15"/>
      <c r="AK58" s="15"/>
      <c r="AL58" s="19" t="s">
        <v>404</v>
      </c>
      <c r="AM58" s="17" t="s">
        <v>405</v>
      </c>
    </row>
    <row r="59">
      <c r="A59" s="9" t="s">
        <v>406</v>
      </c>
      <c r="B59" s="14"/>
      <c r="C59" s="10" t="s">
        <v>407</v>
      </c>
      <c r="D59" s="11" t="s">
        <v>41</v>
      </c>
      <c r="E59" s="12">
        <v>45870.0</v>
      </c>
      <c r="F59" s="12">
        <v>45927.0</v>
      </c>
      <c r="G59" s="14"/>
      <c r="H59" s="14"/>
      <c r="I59" s="9" t="s">
        <v>408</v>
      </c>
      <c r="J59" s="11" t="s">
        <v>42</v>
      </c>
      <c r="K59" s="14"/>
      <c r="L59" s="9" t="s">
        <v>43</v>
      </c>
      <c r="M59" s="15">
        <v>500.0</v>
      </c>
      <c r="N59" s="15"/>
      <c r="O59" s="14"/>
      <c r="P59" s="14"/>
      <c r="Q59" s="15">
        <v>100.0</v>
      </c>
      <c r="R59" s="12"/>
      <c r="S59" s="15">
        <v>0.0</v>
      </c>
      <c r="T59" s="15">
        <v>600.0</v>
      </c>
      <c r="U59" s="15">
        <v>600.0</v>
      </c>
      <c r="V59" s="16" t="s">
        <v>44</v>
      </c>
      <c r="W59" s="17">
        <v>2.5</v>
      </c>
      <c r="X59" s="15">
        <v>70.0</v>
      </c>
      <c r="Y59" s="17">
        <v>5.0</v>
      </c>
      <c r="Z59" s="17">
        <v>20.0</v>
      </c>
      <c r="AA59" s="15">
        <v>3.0</v>
      </c>
      <c r="AB59" s="16"/>
      <c r="AC59" s="15">
        <f>IF(OR(L59="", AB59=""), 0,
  IF(L59="Découverte", KPI!$F$2,
    IF(L59="Essentiel", KPI!$F$3,
      IF(L59="Premium", KPI!$F$4, 0)
    )
  )
)</f>
        <v>0</v>
      </c>
      <c r="AD59" s="15">
        <f t="array" ref="AD59">IF(F59="", "", 
  (T59 / 1.21) 
  - IF(L59="Découverte", KPI!$C$2, 
      IF(L59="Essentiel", KPI!$C$3, 
        IF(L59="Premium", KPI!$C$4, 0)
      )
    ) 
  - N(X59) 
  - N(AA59) 
  - N(AC59)
  - IFERROR(INDEX(Stats!$G:$G, MATCH(DATE(YEAR(R59), MONTH(R59), 1), Stats!$A:$A, 0)), 35)
)</f>
        <v>295.3677686</v>
      </c>
      <c r="AE59" s="18"/>
      <c r="AF59" s="18"/>
      <c r="AG59" s="15"/>
      <c r="AH59" s="15" t="s">
        <v>409</v>
      </c>
      <c r="AI59" s="15" t="s">
        <v>410</v>
      </c>
      <c r="AJ59" s="15"/>
      <c r="AK59" s="15"/>
      <c r="AL59" s="19"/>
      <c r="AM59" s="17" t="s">
        <v>411</v>
      </c>
    </row>
    <row r="60">
      <c r="A60" s="9" t="s">
        <v>412</v>
      </c>
      <c r="B60" s="9" t="s">
        <v>413</v>
      </c>
      <c r="C60" s="10" t="s">
        <v>414</v>
      </c>
      <c r="D60" s="11" t="s">
        <v>41</v>
      </c>
      <c r="E60" s="12">
        <v>45870.0</v>
      </c>
      <c r="F60" s="12">
        <v>45920.0</v>
      </c>
      <c r="G60" s="9"/>
      <c r="H60" s="9"/>
      <c r="I60" s="9" t="s">
        <v>415</v>
      </c>
      <c r="J60" s="11" t="s">
        <v>65</v>
      </c>
      <c r="K60" s="14"/>
      <c r="L60" s="9" t="s">
        <v>50</v>
      </c>
      <c r="M60" s="15">
        <v>450.0</v>
      </c>
      <c r="N60" s="15">
        <v>120.0</v>
      </c>
      <c r="O60" s="14"/>
      <c r="P60" s="14"/>
      <c r="Q60" s="15"/>
      <c r="R60" s="12"/>
      <c r="S60" s="15">
        <v>150.0</v>
      </c>
      <c r="T60" s="15">
        <v>570.0</v>
      </c>
      <c r="U60" s="15">
        <v>420.0</v>
      </c>
      <c r="V60" s="16" t="s">
        <v>44</v>
      </c>
      <c r="W60" s="17">
        <v>6.0</v>
      </c>
      <c r="X60" s="15">
        <v>70.0</v>
      </c>
      <c r="Y60" s="17">
        <v>96.0</v>
      </c>
      <c r="Z60" s="17">
        <v>384.0</v>
      </c>
      <c r="AA60" s="15">
        <v>57.6</v>
      </c>
      <c r="AB60" s="16"/>
      <c r="AC60" s="15">
        <f>IF(OR(L60="", AB60=""), 0,
  IF(L60="Découverte", KPI!$F$2,
    IF(L60="Essentiel", KPI!$F$3,
      IF(L60="Premium", KPI!$F$4, 0)
    )
  )
)</f>
        <v>0</v>
      </c>
      <c r="AD60" s="15">
        <f t="array" ref="AD60">IF(F60="", "", 
  (T60 / 1.21) 
  - IF(L60="Découverte", KPI!$C$2, 
      IF(L60="Essentiel", KPI!$C$3, 
        IF(L60="Premium", KPI!$C$4, 0)
      )
    ) 
  - N(X60) 
  - N(AA60) 
  - N(AC60)
  - IFERROR(INDEX(Stats!$G:$G, MATCH(DATE(YEAR(R60), MONTH(R60), 1), Stats!$A:$A, 0)), 35)
)</f>
        <v>262.2243802</v>
      </c>
      <c r="AE60" s="18"/>
      <c r="AF60" s="18"/>
      <c r="AG60" s="15"/>
      <c r="AH60" s="15" t="s">
        <v>416</v>
      </c>
      <c r="AI60" s="15" t="s">
        <v>97</v>
      </c>
      <c r="AJ60" s="15"/>
      <c r="AK60" s="15"/>
      <c r="AL60" s="19" t="s">
        <v>417</v>
      </c>
      <c r="AM60" s="17" t="s">
        <v>418</v>
      </c>
    </row>
    <row r="61">
      <c r="A61" s="9" t="s">
        <v>419</v>
      </c>
      <c r="B61" s="9" t="s">
        <v>420</v>
      </c>
      <c r="C61" s="10" t="s">
        <v>421</v>
      </c>
      <c r="D61" s="11" t="s">
        <v>41</v>
      </c>
      <c r="E61" s="12">
        <v>45908.0</v>
      </c>
      <c r="F61" s="12">
        <v>46032.0</v>
      </c>
      <c r="G61" s="9"/>
      <c r="H61" s="9"/>
      <c r="I61" s="9" t="s">
        <v>422</v>
      </c>
      <c r="J61" s="11" t="s">
        <v>423</v>
      </c>
      <c r="K61" s="14"/>
      <c r="L61" s="9" t="s">
        <v>66</v>
      </c>
      <c r="M61" s="15">
        <v>250.0</v>
      </c>
      <c r="N61" s="15">
        <v>70.0</v>
      </c>
      <c r="O61" s="14"/>
      <c r="P61" s="14"/>
      <c r="Q61" s="15"/>
      <c r="R61" s="12">
        <v>45917.0</v>
      </c>
      <c r="S61" s="15">
        <v>150.0</v>
      </c>
      <c r="T61" s="15">
        <v>320.0</v>
      </c>
      <c r="U61" s="15">
        <v>170.0</v>
      </c>
      <c r="V61" s="16" t="s">
        <v>44</v>
      </c>
      <c r="W61" s="17">
        <v>4.0</v>
      </c>
      <c r="X61" s="15">
        <f>IF(W61=0, " ",W61*14)</f>
        <v>56</v>
      </c>
      <c r="Y61" s="17">
        <v>49.0</v>
      </c>
      <c r="Z61" s="17">
        <v>196.0</v>
      </c>
      <c r="AA61" s="15">
        <v>29.4</v>
      </c>
      <c r="AB61" s="16"/>
      <c r="AC61" s="15">
        <f>IF(OR(L61="", AB61=""), 0,
  IF(L61="Découverte", KPI!$F$2,
    IF(L61="Essentiel", KPI!$F$3,
      IF(L61="Premium", KPI!$F$4, 0)
    )
  )
)</f>
        <v>0</v>
      </c>
      <c r="AD61" s="15">
        <f t="array" ref="AD61">IF(F61="", "", 
  (T61 / 1.21) 
  - IF(L61="Découverte", KPI!$C$2, 
      IF(L61="Essentiel", KPI!$C$3, 
        IF(L61="Premium", KPI!$C$4, 0)
      )
    ) 
  - N(X61) 
  - N(AA61) 
  - N(AC61)
  - IFERROR(INDEX(Stats!$G:$G, MATCH(DATE(YEAR(R61), MONTH(R61), 1), Stats!$A:$A, 0)), 35)
)</f>
        <v>123.3934766</v>
      </c>
      <c r="AE61" s="18"/>
      <c r="AF61" s="18"/>
      <c r="AG61" s="15"/>
      <c r="AH61" s="15" t="s">
        <v>424</v>
      </c>
      <c r="AI61" s="15" t="s">
        <v>425</v>
      </c>
      <c r="AJ61" s="15" t="s">
        <v>382</v>
      </c>
      <c r="AK61" s="15"/>
      <c r="AL61" s="19" t="s">
        <v>426</v>
      </c>
      <c r="AM61" s="17" t="s">
        <v>427</v>
      </c>
    </row>
    <row r="62">
      <c r="A62" s="9" t="s">
        <v>428</v>
      </c>
      <c r="B62" s="9" t="s">
        <v>429</v>
      </c>
      <c r="C62" s="10" t="s">
        <v>430</v>
      </c>
      <c r="D62" s="11" t="s">
        <v>41</v>
      </c>
      <c r="E62" s="12">
        <v>45912.0</v>
      </c>
      <c r="F62" s="12">
        <v>45935.0</v>
      </c>
      <c r="G62" s="9"/>
      <c r="H62" s="9"/>
      <c r="I62" s="9" t="s">
        <v>431</v>
      </c>
      <c r="J62" s="11" t="s">
        <v>65</v>
      </c>
      <c r="K62" s="14"/>
      <c r="L62" s="9" t="s">
        <v>66</v>
      </c>
      <c r="M62" s="15">
        <v>250.0</v>
      </c>
      <c r="N62" s="15">
        <v>50.0</v>
      </c>
      <c r="O62" s="14"/>
      <c r="P62" s="14"/>
      <c r="Q62" s="15"/>
      <c r="R62" s="12"/>
      <c r="S62" s="15">
        <v>150.0</v>
      </c>
      <c r="T62" s="15">
        <v>300.0</v>
      </c>
      <c r="U62" s="15">
        <v>150.0</v>
      </c>
      <c r="V62" s="16" t="s">
        <v>44</v>
      </c>
      <c r="W62" s="17">
        <v>2.5</v>
      </c>
      <c r="X62" s="15">
        <v>70.0</v>
      </c>
      <c r="Y62" s="17">
        <v>7.0</v>
      </c>
      <c r="Z62" s="17">
        <v>28.0</v>
      </c>
      <c r="AA62" s="15">
        <v>4.2</v>
      </c>
      <c r="AB62" s="16"/>
      <c r="AC62" s="15">
        <f>IF(OR(L62="", AB62=""), 0,
  IF(L62="Découverte", KPI!$F$2,
    IF(L62="Essentiel", KPI!$F$3,
      IF(L62="Premium", KPI!$F$4, 0)
    )
  )
)</f>
        <v>0</v>
      </c>
      <c r="AD62" s="15">
        <f t="array" ref="AD62">IF(F62="", "", 
  (T62 / 1.21) 
  - IF(L62="Découverte", KPI!$C$2, 
      IF(L62="Essentiel", KPI!$C$3, 
        IF(L62="Premium", KPI!$C$4, 0)
      )
    ) 
  - N(X62) 
  - N(AA62) 
  - N(AC62)
  - IFERROR(INDEX(Stats!$G:$G, MATCH(DATE(YEAR(R62), MONTH(R62), 1), Stats!$A:$A, 0)), 35)
)</f>
        <v>115.6138843</v>
      </c>
      <c r="AE62" s="18"/>
      <c r="AF62" s="18"/>
      <c r="AG62" s="15"/>
      <c r="AH62" s="15" t="s">
        <v>432</v>
      </c>
      <c r="AI62" s="15" t="s">
        <v>433</v>
      </c>
      <c r="AJ62" s="15"/>
      <c r="AK62" s="15"/>
      <c r="AL62" s="19" t="s">
        <v>434</v>
      </c>
      <c r="AM62" s="17" t="s">
        <v>435</v>
      </c>
    </row>
    <row r="63">
      <c r="A63" s="9" t="s">
        <v>436</v>
      </c>
      <c r="B63" s="9" t="s">
        <v>437</v>
      </c>
      <c r="C63" s="10" t="s">
        <v>438</v>
      </c>
      <c r="D63" s="11" t="s">
        <v>41</v>
      </c>
      <c r="E63" s="12">
        <v>45913.0</v>
      </c>
      <c r="F63" s="12">
        <v>45934.0</v>
      </c>
      <c r="G63" s="9"/>
      <c r="H63" s="9"/>
      <c r="I63" s="9" t="s">
        <v>439</v>
      </c>
      <c r="J63" s="11" t="s">
        <v>65</v>
      </c>
      <c r="K63" s="14"/>
      <c r="L63" s="9" t="s">
        <v>66</v>
      </c>
      <c r="M63" s="15">
        <v>250.0</v>
      </c>
      <c r="N63" s="15">
        <v>75.0</v>
      </c>
      <c r="O63" s="14"/>
      <c r="P63" s="14"/>
      <c r="Q63" s="15"/>
      <c r="R63" s="12">
        <v>45921.0</v>
      </c>
      <c r="S63" s="15">
        <v>150.0</v>
      </c>
      <c r="T63" s="15">
        <v>325.0</v>
      </c>
      <c r="U63" s="15">
        <v>175.0</v>
      </c>
      <c r="V63" s="16" t="s">
        <v>44</v>
      </c>
      <c r="W63" s="17">
        <v>5.0</v>
      </c>
      <c r="X63" s="15">
        <v>70.0</v>
      </c>
      <c r="Y63" s="17">
        <v>76.0</v>
      </c>
      <c r="Z63" s="17">
        <v>304.0</v>
      </c>
      <c r="AA63" s="15">
        <v>45.6</v>
      </c>
      <c r="AB63" s="16"/>
      <c r="AC63" s="15">
        <f>IF(OR(L63="", AB63=""), 0,
  IF(L63="Découverte", KPI!$F$2,
    IF(L63="Essentiel", KPI!$F$3,
      IF(L63="Premium", KPI!$F$4, 0)
    )
  )
)</f>
        <v>0</v>
      </c>
      <c r="AD63" s="15">
        <f t="array" ref="AD63">IF(F63="", "", 
  (T63 / 1.21) 
  - IF(L63="Découverte", KPI!$C$2, 
      IF(L63="Essentiel", KPI!$C$3, 
        IF(L63="Premium", KPI!$C$4, 0)
      )
    ) 
  - N(X63) 
  - N(AA63) 
  - N(AC63)
  - IFERROR(INDEX(Stats!$G:$G, MATCH(DATE(YEAR(R63), MONTH(R63), 1), Stats!$A:$A, 0)), 35)
)</f>
        <v>97.32570799</v>
      </c>
      <c r="AE63" s="18"/>
      <c r="AF63" s="18"/>
      <c r="AG63" s="15"/>
      <c r="AH63" s="15" t="s">
        <v>440</v>
      </c>
      <c r="AI63" s="15" t="s">
        <v>441</v>
      </c>
      <c r="AJ63" s="15"/>
      <c r="AK63" s="15"/>
      <c r="AL63" s="19" t="s">
        <v>442</v>
      </c>
      <c r="AM63" s="17" t="s">
        <v>443</v>
      </c>
    </row>
    <row r="64">
      <c r="A64" s="9" t="s">
        <v>444</v>
      </c>
      <c r="B64" s="9" t="s">
        <v>445</v>
      </c>
      <c r="C64" s="10" t="s">
        <v>446</v>
      </c>
      <c r="D64" s="11" t="s">
        <v>41</v>
      </c>
      <c r="E64" s="12">
        <v>45914.0</v>
      </c>
      <c r="F64" s="12">
        <v>46277.0</v>
      </c>
      <c r="G64" s="9"/>
      <c r="H64" s="9"/>
      <c r="I64" s="9" t="s">
        <v>447</v>
      </c>
      <c r="J64" s="11" t="s">
        <v>65</v>
      </c>
      <c r="K64" s="14"/>
      <c r="L64" s="9" t="s">
        <v>50</v>
      </c>
      <c r="M64" s="15">
        <v>350.0</v>
      </c>
      <c r="N64" s="15">
        <v>75.0</v>
      </c>
      <c r="O64" s="14"/>
      <c r="P64" s="14"/>
      <c r="Q64" s="15"/>
      <c r="R64" s="12">
        <v>45926.0</v>
      </c>
      <c r="S64" s="15">
        <v>150.0</v>
      </c>
      <c r="T64" s="15">
        <v>425.0</v>
      </c>
      <c r="U64" s="15">
        <v>275.0</v>
      </c>
      <c r="V64" s="16"/>
      <c r="W64" s="17">
        <v>5.5</v>
      </c>
      <c r="X64" s="15">
        <f t="shared" ref="X64:X74" si="6">IF(W64=0, " ",W64*14)</f>
        <v>77</v>
      </c>
      <c r="Y64" s="17">
        <v>77.0</v>
      </c>
      <c r="Z64" s="17">
        <v>308.0</v>
      </c>
      <c r="AA64" s="15">
        <v>46.2</v>
      </c>
      <c r="AB64" s="16"/>
      <c r="AC64" s="15">
        <f>IF(OR(L64="", AB64=""), 0,
  IF(L64="Découverte", KPI!$F$2,
    IF(L64="Essentiel", KPI!$F$3,
      IF(L64="Premium", KPI!$F$4, 0)
    )
  )
)</f>
        <v>0</v>
      </c>
      <c r="AD64" s="15">
        <f t="array" ref="AD64">IF(F64="", "", 
  (T64 / 1.21) 
  - IF(L64="Découverte", KPI!$C$2, 
      IF(L64="Essentiel", KPI!$C$3, 
        IF(L64="Premium", KPI!$C$4, 0)
      )
    ) 
  - N(X64) 
  - N(AA64) 
  - N(AC64)
  - IFERROR(INDEX(Stats!$G:$G, MATCH(DATE(YEAR(R64), MONTH(R64), 1), Stats!$A:$A, 0)), 35)
)</f>
        <v>149.2403361</v>
      </c>
      <c r="AE64" s="18"/>
      <c r="AF64" s="18"/>
      <c r="AG64" s="15"/>
      <c r="AH64" s="15" t="s">
        <v>448</v>
      </c>
      <c r="AI64" s="15" t="s">
        <v>449</v>
      </c>
      <c r="AJ64" s="15"/>
      <c r="AK64" s="15"/>
      <c r="AL64" s="19" t="s">
        <v>450</v>
      </c>
      <c r="AM64" s="17"/>
    </row>
    <row r="65">
      <c r="A65" s="9" t="s">
        <v>451</v>
      </c>
      <c r="B65" s="9" t="s">
        <v>452</v>
      </c>
      <c r="C65" s="10" t="s">
        <v>453</v>
      </c>
      <c r="D65" s="11" t="s">
        <v>41</v>
      </c>
      <c r="E65" s="12">
        <v>45915.0</v>
      </c>
      <c r="F65" s="12">
        <v>46186.0</v>
      </c>
      <c r="G65" s="9"/>
      <c r="H65" s="9"/>
      <c r="I65" s="9" t="s">
        <v>454</v>
      </c>
      <c r="J65" s="11" t="s">
        <v>65</v>
      </c>
      <c r="K65" s="9">
        <v>150.0</v>
      </c>
      <c r="L65" s="9" t="s">
        <v>50</v>
      </c>
      <c r="M65" s="15">
        <v>350.0</v>
      </c>
      <c r="N65" s="15">
        <v>70.0</v>
      </c>
      <c r="O65" s="14"/>
      <c r="P65" s="14"/>
      <c r="Q65" s="15"/>
      <c r="R65" s="12">
        <v>45917.0</v>
      </c>
      <c r="S65" s="15">
        <v>150.0</v>
      </c>
      <c r="T65" s="15">
        <v>420.0</v>
      </c>
      <c r="U65" s="15">
        <v>270.0</v>
      </c>
      <c r="V65" s="16"/>
      <c r="W65" s="17">
        <v>4.0</v>
      </c>
      <c r="X65" s="15">
        <f t="shared" si="6"/>
        <v>56</v>
      </c>
      <c r="Y65" s="17">
        <v>58.0</v>
      </c>
      <c r="Z65" s="17">
        <v>232.0</v>
      </c>
      <c r="AA65" s="15">
        <v>34.8</v>
      </c>
      <c r="AB65" s="16"/>
      <c r="AC65" s="15">
        <f>IF(OR(L65="", AB65=""), 0,
  IF(L65="Découverte", KPI!$F$2,
    IF(L65="Essentiel", KPI!$F$3,
      IF(L65="Premium", KPI!$F$4, 0)
    )
  )
)</f>
        <v>0</v>
      </c>
      <c r="AD65" s="15">
        <f t="array" ref="AD65">IF(F65="", "", 
  (T65 / 1.21) 
  - IF(L65="Découverte", KPI!$C$2, 
      IF(L65="Essentiel", KPI!$C$3, 
        IF(L65="Premium", KPI!$C$4, 0)
      )
    ) 
  - N(X65) 
  - N(AA65) 
  - N(AC65)
  - IFERROR(INDEX(Stats!$G:$G, MATCH(DATE(YEAR(R65), MONTH(R65), 1), Stats!$A:$A, 0)), 35)
)</f>
        <v>177.5081047</v>
      </c>
      <c r="AE65" s="18"/>
      <c r="AF65" s="18"/>
      <c r="AG65" s="15"/>
      <c r="AH65" s="15" t="s">
        <v>455</v>
      </c>
      <c r="AI65" s="15" t="s">
        <v>312</v>
      </c>
      <c r="AJ65" s="15"/>
      <c r="AK65" s="15"/>
      <c r="AL65" s="19" t="s">
        <v>456</v>
      </c>
      <c r="AM65" s="17"/>
    </row>
    <row r="66">
      <c r="A66" s="9" t="s">
        <v>457</v>
      </c>
      <c r="B66" s="9" t="s">
        <v>458</v>
      </c>
      <c r="C66" s="10" t="s">
        <v>459</v>
      </c>
      <c r="D66" s="11" t="s">
        <v>41</v>
      </c>
      <c r="E66" s="12">
        <v>45916.0</v>
      </c>
      <c r="F66" s="12">
        <v>46256.0</v>
      </c>
      <c r="G66" s="9"/>
      <c r="H66" s="9"/>
      <c r="I66" s="9" t="s">
        <v>460</v>
      </c>
      <c r="J66" s="11" t="s">
        <v>65</v>
      </c>
      <c r="K66" s="9">
        <v>180.0</v>
      </c>
      <c r="L66" s="9" t="s">
        <v>50</v>
      </c>
      <c r="M66" s="15">
        <v>350.0</v>
      </c>
      <c r="N66" s="15">
        <v>70.0</v>
      </c>
      <c r="O66" s="14"/>
      <c r="P66" s="14"/>
      <c r="Q66" s="15"/>
      <c r="R66" s="12">
        <v>45916.0</v>
      </c>
      <c r="S66" s="15">
        <v>150.0</v>
      </c>
      <c r="T66" s="15">
        <v>420.0</v>
      </c>
      <c r="U66" s="15">
        <v>270.0</v>
      </c>
      <c r="V66" s="16"/>
      <c r="W66" s="17">
        <v>8.0</v>
      </c>
      <c r="X66" s="15">
        <f t="shared" si="6"/>
        <v>112</v>
      </c>
      <c r="Y66" s="17">
        <v>153.0</v>
      </c>
      <c r="Z66" s="17">
        <v>612.0</v>
      </c>
      <c r="AA66" s="15">
        <v>91.8</v>
      </c>
      <c r="AB66" s="16"/>
      <c r="AC66" s="15">
        <f>IF(OR(L66="", AB66=""), 0,
  IF(L66="Découverte", KPI!$F$2,
    IF(L66="Essentiel", KPI!$F$3,
      IF(L66="Premium", KPI!$F$4, 0)
    )
  )
)</f>
        <v>0</v>
      </c>
      <c r="AD66" s="15">
        <f t="array" ref="AD66">IF(F66="", "", 
  (T66 / 1.21) 
  - IF(L66="Découverte", KPI!$C$2, 
      IF(L66="Essentiel", KPI!$C$3, 
        IF(L66="Premium", KPI!$C$4, 0)
      )
    ) 
  - N(X66) 
  - N(AA66) 
  - N(AC66)
  - IFERROR(INDEX(Stats!$G:$G, MATCH(DATE(YEAR(R66), MONTH(R66), 1), Stats!$A:$A, 0)), 35)
)</f>
        <v>64.50810468</v>
      </c>
      <c r="AE66" s="18"/>
      <c r="AF66" s="18"/>
      <c r="AG66" s="15"/>
      <c r="AH66" s="15" t="s">
        <v>461</v>
      </c>
      <c r="AI66" s="15" t="s">
        <v>462</v>
      </c>
      <c r="AJ66" s="15"/>
      <c r="AK66" s="15"/>
      <c r="AL66" s="19" t="s">
        <v>463</v>
      </c>
      <c r="AM66" s="17"/>
    </row>
    <row r="67">
      <c r="A67" s="9" t="s">
        <v>464</v>
      </c>
      <c r="B67" s="9" t="s">
        <v>465</v>
      </c>
      <c r="C67" s="10" t="s">
        <v>466</v>
      </c>
      <c r="D67" s="11" t="s">
        <v>41</v>
      </c>
      <c r="E67" s="12">
        <v>45917.0</v>
      </c>
      <c r="F67" s="12">
        <v>46227.0</v>
      </c>
      <c r="G67" s="9"/>
      <c r="H67" s="9"/>
      <c r="I67" s="9" t="s">
        <v>467</v>
      </c>
      <c r="J67" s="11" t="s">
        <v>65</v>
      </c>
      <c r="K67" s="9">
        <v>140.0</v>
      </c>
      <c r="L67" s="9" t="s">
        <v>50</v>
      </c>
      <c r="M67" s="15">
        <v>450.0</v>
      </c>
      <c r="N67" s="15">
        <v>50.0</v>
      </c>
      <c r="O67" s="14"/>
      <c r="P67" s="14"/>
      <c r="Q67" s="15"/>
      <c r="R67" s="12">
        <v>45927.0</v>
      </c>
      <c r="S67" s="15">
        <v>150.0</v>
      </c>
      <c r="T67" s="15">
        <v>500.0</v>
      </c>
      <c r="U67" s="15">
        <v>350.0</v>
      </c>
      <c r="V67" s="16"/>
      <c r="W67" s="17">
        <v>4.0</v>
      </c>
      <c r="X67" s="15">
        <f t="shared" si="6"/>
        <v>56</v>
      </c>
      <c r="Y67" s="17">
        <v>42.0</v>
      </c>
      <c r="Z67" s="17">
        <v>168.0</v>
      </c>
      <c r="AA67" s="15">
        <v>25.2</v>
      </c>
      <c r="AB67" s="16"/>
      <c r="AC67" s="15">
        <f>IF(OR(L67="", AB67=""), 0,
  IF(L67="Découverte", KPI!$F$2,
    IF(L67="Essentiel", KPI!$F$3,
      IF(L67="Premium", KPI!$F$4, 0)
    )
  )
)</f>
        <v>0</v>
      </c>
      <c r="AD67" s="15">
        <f t="array" ref="AD67">IF(F67="", "", 
  (T67 / 1.21) 
  - IF(L67="Découverte", KPI!$C$2, 
      IF(L67="Essentiel", KPI!$C$3, 
        IF(L67="Premium", KPI!$C$4, 0)
      )
    ) 
  - N(X67) 
  - N(AA67) 
  - N(AC67)
  - IFERROR(INDEX(Stats!$G:$G, MATCH(DATE(YEAR(R67), MONTH(R67), 1), Stats!$A:$A, 0)), 35)
)</f>
        <v>253.2238072</v>
      </c>
      <c r="AE67" s="18"/>
      <c r="AF67" s="18"/>
      <c r="AG67" s="15"/>
      <c r="AH67" s="15" t="s">
        <v>468</v>
      </c>
      <c r="AI67" s="15" t="s">
        <v>469</v>
      </c>
      <c r="AJ67" s="15"/>
      <c r="AK67" s="15"/>
      <c r="AL67" s="19" t="s">
        <v>470</v>
      </c>
      <c r="AM67" s="17"/>
    </row>
    <row r="68">
      <c r="A68" s="9" t="s">
        <v>471</v>
      </c>
      <c r="B68" s="9" t="s">
        <v>472</v>
      </c>
      <c r="C68" s="10" t="s">
        <v>473</v>
      </c>
      <c r="D68" s="11" t="s">
        <v>41</v>
      </c>
      <c r="E68" s="12">
        <v>45917.0</v>
      </c>
      <c r="F68" s="12">
        <v>46158.0</v>
      </c>
      <c r="G68" s="9"/>
      <c r="H68" s="9"/>
      <c r="I68" s="9" t="s">
        <v>474</v>
      </c>
      <c r="J68" s="11" t="s">
        <v>65</v>
      </c>
      <c r="K68" s="9">
        <v>80.0</v>
      </c>
      <c r="L68" s="9" t="s">
        <v>66</v>
      </c>
      <c r="M68" s="15">
        <v>250.0</v>
      </c>
      <c r="N68" s="15">
        <v>70.0</v>
      </c>
      <c r="O68" s="14"/>
      <c r="P68" s="14"/>
      <c r="Q68" s="15"/>
      <c r="R68" s="12">
        <v>45932.0</v>
      </c>
      <c r="S68" s="15">
        <v>150.0</v>
      </c>
      <c r="T68" s="15">
        <v>320.0</v>
      </c>
      <c r="U68" s="15">
        <v>170.0</v>
      </c>
      <c r="V68" s="16"/>
      <c r="W68" s="17">
        <v>4.0</v>
      </c>
      <c r="X68" s="15">
        <f t="shared" si="6"/>
        <v>56</v>
      </c>
      <c r="Y68" s="17">
        <v>55.0</v>
      </c>
      <c r="Z68" s="17">
        <v>220.0</v>
      </c>
      <c r="AA68" s="15">
        <v>33.0</v>
      </c>
      <c r="AB68" s="16"/>
      <c r="AC68" s="15">
        <f>IF(OR(L68="", AB68=""), 0,
  IF(L68="Découverte", KPI!$F$2,
    IF(L68="Essentiel", KPI!$F$3,
      IF(L68="Premium", KPI!$F$4, 0)
    )
  )
)</f>
        <v>0</v>
      </c>
      <c r="AD68" s="15">
        <f t="array" ref="AD68">IF(F68="", "", 
  (T68 / 1.21) 
  - IF(L68="Découverte", KPI!$C$2, 
      IF(L68="Essentiel", KPI!$C$3, 
        IF(L68="Premium", KPI!$C$4, 0)
      )
    ) 
  - N(X68) 
  - N(AA68) 
  - N(AC68)
  - IFERROR(INDEX(Stats!$G:$G, MATCH(DATE(YEAR(R68), MONTH(R68), 1), Stats!$A:$A, 0)), 35)
)</f>
        <v>110.0197664</v>
      </c>
      <c r="AE68" s="18"/>
      <c r="AF68" s="18"/>
      <c r="AG68" s="15"/>
      <c r="AH68" s="15" t="s">
        <v>475</v>
      </c>
      <c r="AI68" s="15" t="s">
        <v>476</v>
      </c>
      <c r="AJ68" s="15"/>
      <c r="AK68" s="15"/>
      <c r="AL68" s="19" t="s">
        <v>477</v>
      </c>
      <c r="AM68" s="17"/>
    </row>
    <row r="69">
      <c r="A69" s="9" t="s">
        <v>478</v>
      </c>
      <c r="B69" s="9" t="s">
        <v>479</v>
      </c>
      <c r="C69" s="10" t="s">
        <v>480</v>
      </c>
      <c r="D69" s="11" t="s">
        <v>41</v>
      </c>
      <c r="E69" s="12">
        <v>45920.0</v>
      </c>
      <c r="F69" s="12">
        <v>46136.0</v>
      </c>
      <c r="G69" s="9"/>
      <c r="H69" s="9"/>
      <c r="I69" s="9" t="s">
        <v>481</v>
      </c>
      <c r="J69" s="11" t="s">
        <v>65</v>
      </c>
      <c r="K69" s="9">
        <v>50.0</v>
      </c>
      <c r="L69" s="9" t="s">
        <v>66</v>
      </c>
      <c r="M69" s="15">
        <v>250.0</v>
      </c>
      <c r="N69" s="15">
        <v>90.0</v>
      </c>
      <c r="O69" s="14"/>
      <c r="P69" s="14"/>
      <c r="Q69" s="15"/>
      <c r="R69" s="12">
        <v>45925.0</v>
      </c>
      <c r="S69" s="15">
        <v>150.0</v>
      </c>
      <c r="T69" s="15">
        <v>340.0</v>
      </c>
      <c r="U69" s="15">
        <v>190.0</v>
      </c>
      <c r="V69" s="16"/>
      <c r="W69" s="17">
        <v>4.0</v>
      </c>
      <c r="X69" s="15">
        <f t="shared" si="6"/>
        <v>56</v>
      </c>
      <c r="Y69" s="17">
        <v>58.0</v>
      </c>
      <c r="Z69" s="17">
        <v>232.0</v>
      </c>
      <c r="AA69" s="15">
        <v>34.8</v>
      </c>
      <c r="AB69" s="16"/>
      <c r="AC69" s="15">
        <f>IF(OR(L69="", AB69=""), 0,
  IF(L69="Découverte", KPI!$F$2,
    IF(L69="Essentiel", KPI!$F$3,
      IF(L69="Premium", KPI!$F$4, 0)
    )
  )
)</f>
        <v>0</v>
      </c>
      <c r="AD69" s="15">
        <f t="array" ref="AD69">IF(F69="", "", 
  (T69 / 1.21) 
  - IF(L69="Découverte", KPI!$C$2, 
      IF(L69="Essentiel", KPI!$C$3, 
        IF(L69="Premium", KPI!$C$4, 0)
      )
    ) 
  - N(X69) 
  - N(AA69) 
  - N(AC69)
  - IFERROR(INDEX(Stats!$G:$G, MATCH(DATE(YEAR(R69), MONTH(R69), 1), Stats!$A:$A, 0)), 35)
)</f>
        <v>134.5224022</v>
      </c>
      <c r="AE69" s="18"/>
      <c r="AF69" s="18"/>
      <c r="AG69" s="15"/>
      <c r="AH69" s="15" t="s">
        <v>482</v>
      </c>
      <c r="AI69" s="15" t="s">
        <v>462</v>
      </c>
      <c r="AJ69" s="15"/>
      <c r="AK69" s="15"/>
      <c r="AL69" s="19" t="s">
        <v>483</v>
      </c>
      <c r="AM69" s="17"/>
    </row>
    <row r="70">
      <c r="A70" s="9" t="s">
        <v>484</v>
      </c>
      <c r="B70" s="9" t="s">
        <v>485</v>
      </c>
      <c r="C70" s="10" t="s">
        <v>486</v>
      </c>
      <c r="D70" s="11" t="s">
        <v>41</v>
      </c>
      <c r="E70" s="12">
        <v>45920.0</v>
      </c>
      <c r="F70" s="12">
        <v>46137.0</v>
      </c>
      <c r="G70" s="9"/>
      <c r="H70" s="9"/>
      <c r="I70" s="9" t="s">
        <v>431</v>
      </c>
      <c r="J70" s="11" t="s">
        <v>65</v>
      </c>
      <c r="K70" s="9">
        <v>300.0</v>
      </c>
      <c r="L70" s="9" t="s">
        <v>50</v>
      </c>
      <c r="M70" s="15">
        <v>350.0</v>
      </c>
      <c r="N70" s="15">
        <v>90.0</v>
      </c>
      <c r="O70" s="14"/>
      <c r="P70" s="14"/>
      <c r="Q70" s="15"/>
      <c r="R70" s="12">
        <v>45921.0</v>
      </c>
      <c r="S70" s="15">
        <v>150.0</v>
      </c>
      <c r="T70" s="15">
        <v>440.0</v>
      </c>
      <c r="U70" s="15">
        <v>290.0</v>
      </c>
      <c r="V70" s="16"/>
      <c r="W70" s="17">
        <v>2.5</v>
      </c>
      <c r="X70" s="15">
        <f t="shared" si="6"/>
        <v>35</v>
      </c>
      <c r="Y70" s="17">
        <v>7.0</v>
      </c>
      <c r="Z70" s="17">
        <v>28.0</v>
      </c>
      <c r="AA70" s="15">
        <v>4.2</v>
      </c>
      <c r="AB70" s="16"/>
      <c r="AC70" s="15">
        <f>IF(OR(L70="", AB70=""), 0,
  IF(L70="Découverte", KPI!$F$2,
    IF(L70="Essentiel", KPI!$F$3,
      IF(L70="Premium", KPI!$F$4, 0)
    )
  )
)</f>
        <v>0</v>
      </c>
      <c r="AD70" s="15">
        <f t="array" ref="AD70">IF(F70="", "", 
  (T70 / 1.21) 
  - IF(L70="Découverte", KPI!$C$2, 
      IF(L70="Essentiel", KPI!$C$3, 
        IF(L70="Premium", KPI!$C$4, 0)
      )
    ) 
  - N(X70) 
  - N(AA70) 
  - N(AC70)
  - IFERROR(INDEX(Stats!$G:$G, MATCH(DATE(YEAR(R70), MONTH(R70), 1), Stats!$A:$A, 0)), 35)
)</f>
        <v>245.6370303</v>
      </c>
      <c r="AE70" s="18"/>
      <c r="AF70" s="18"/>
      <c r="AG70" s="15"/>
      <c r="AH70" s="15" t="s">
        <v>487</v>
      </c>
      <c r="AI70" s="15" t="s">
        <v>441</v>
      </c>
      <c r="AJ70" s="15"/>
      <c r="AK70" s="15"/>
      <c r="AL70" s="19" t="s">
        <v>488</v>
      </c>
      <c r="AM70" s="17"/>
    </row>
    <row r="71">
      <c r="A71" s="9" t="s">
        <v>489</v>
      </c>
      <c r="B71" s="9" t="s">
        <v>490</v>
      </c>
      <c r="C71" s="10" t="s">
        <v>491</v>
      </c>
      <c r="D71" s="11" t="s">
        <v>41</v>
      </c>
      <c r="E71" s="12">
        <v>45921.0</v>
      </c>
      <c r="F71" s="12">
        <v>46242.0</v>
      </c>
      <c r="G71" s="9"/>
      <c r="H71" s="9"/>
      <c r="I71" s="9" t="s">
        <v>492</v>
      </c>
      <c r="J71" s="11" t="s">
        <v>65</v>
      </c>
      <c r="K71" s="9">
        <v>100.0</v>
      </c>
      <c r="L71" s="9" t="s">
        <v>50</v>
      </c>
      <c r="M71" s="15">
        <v>350.0</v>
      </c>
      <c r="N71" s="15">
        <v>90.0</v>
      </c>
      <c r="O71" s="14"/>
      <c r="P71" s="14"/>
      <c r="Q71" s="15"/>
      <c r="R71" s="12">
        <v>45929.0</v>
      </c>
      <c r="S71" s="15">
        <v>150.0</v>
      </c>
      <c r="T71" s="15">
        <v>440.0</v>
      </c>
      <c r="U71" s="15">
        <v>290.0</v>
      </c>
      <c r="V71" s="16"/>
      <c r="W71" s="17">
        <v>5.0</v>
      </c>
      <c r="X71" s="15">
        <f t="shared" si="6"/>
        <v>70</v>
      </c>
      <c r="Y71" s="17">
        <v>72.0</v>
      </c>
      <c r="Z71" s="17">
        <v>288.0</v>
      </c>
      <c r="AA71" s="15">
        <v>43.2</v>
      </c>
      <c r="AB71" s="16"/>
      <c r="AC71" s="15">
        <f>IF(OR(L71="", AB71=""), 0,
  IF(L71="Découverte", KPI!$F$2,
    IF(L71="Essentiel", KPI!$F$3,
      IF(L71="Premium", KPI!$F$4, 0)
    )
  )
)</f>
        <v>0</v>
      </c>
      <c r="AD71" s="15">
        <f t="array" ref="AD71">IF(F71="", "", 
  (T71 / 1.21) 
  - IF(L71="Découverte", KPI!$C$2, 
      IF(L71="Essentiel", KPI!$C$3, 
        IF(L71="Premium", KPI!$C$4, 0)
      )
    ) 
  - N(X71) 
  - N(AA71) 
  - N(AC71)
  - IFERROR(INDEX(Stats!$G:$G, MATCH(DATE(YEAR(R71), MONTH(R71), 1), Stats!$A:$A, 0)), 35)
)</f>
        <v>171.6370303</v>
      </c>
      <c r="AE71" s="18"/>
      <c r="AF71" s="18"/>
      <c r="AG71" s="15"/>
      <c r="AH71" s="15" t="s">
        <v>493</v>
      </c>
      <c r="AI71" s="15" t="s">
        <v>410</v>
      </c>
      <c r="AJ71" s="15"/>
      <c r="AK71" s="15"/>
      <c r="AL71" s="19" t="s">
        <v>494</v>
      </c>
      <c r="AM71" s="17"/>
    </row>
    <row r="72">
      <c r="A72" s="9" t="s">
        <v>495</v>
      </c>
      <c r="B72" s="9" t="s">
        <v>496</v>
      </c>
      <c r="C72" s="21"/>
      <c r="D72" s="11" t="s">
        <v>41</v>
      </c>
      <c r="E72" s="12">
        <v>45922.0</v>
      </c>
      <c r="F72" s="12">
        <v>46368.0</v>
      </c>
      <c r="G72" s="9"/>
      <c r="H72" s="9"/>
      <c r="I72" s="9" t="s">
        <v>497</v>
      </c>
      <c r="J72" s="11" t="s">
        <v>65</v>
      </c>
      <c r="K72" s="14"/>
      <c r="L72" s="9" t="s">
        <v>43</v>
      </c>
      <c r="M72" s="15">
        <v>450.0</v>
      </c>
      <c r="N72" s="15">
        <v>90.0</v>
      </c>
      <c r="O72" s="14"/>
      <c r="P72" s="14"/>
      <c r="Q72" s="15"/>
      <c r="R72" s="12">
        <v>45927.0</v>
      </c>
      <c r="S72" s="15">
        <v>150.0</v>
      </c>
      <c r="T72" s="15">
        <v>540.0</v>
      </c>
      <c r="U72" s="15">
        <v>390.0</v>
      </c>
      <c r="V72" s="16"/>
      <c r="W72" s="17">
        <v>7.5</v>
      </c>
      <c r="X72" s="15">
        <f t="shared" si="6"/>
        <v>105</v>
      </c>
      <c r="Y72" s="17">
        <v>115.0</v>
      </c>
      <c r="Z72" s="17">
        <v>460.0</v>
      </c>
      <c r="AA72" s="15">
        <v>69.0</v>
      </c>
      <c r="AB72" s="16"/>
      <c r="AC72" s="15">
        <f>IF(OR(L72="", AB72=""), 0,
  IF(L72="Découverte", KPI!$F$2,
    IF(L72="Essentiel", KPI!$F$3,
      IF(L72="Premium", KPI!$F$4, 0)
    )
  )
)</f>
        <v>0</v>
      </c>
      <c r="AD72" s="15">
        <f t="array" ref="AD72">IF(F72="", "", 
  (T72 / 1.21) 
  - IF(L72="Découverte", KPI!$C$2, 
      IF(L72="Essentiel", KPI!$C$3, 
        IF(L72="Premium", KPI!$C$4, 0)
      )
    ) 
  - N(X72) 
  - N(AA72) 
  - N(AC72)
  - IFERROR(INDEX(Stats!$G:$G, MATCH(DATE(YEAR(R72), MONTH(R72), 1), Stats!$A:$A, 0)), 35)
)</f>
        <v>147.2316584</v>
      </c>
      <c r="AE72" s="18"/>
      <c r="AF72" s="18"/>
      <c r="AG72" s="15"/>
      <c r="AH72" s="15" t="s">
        <v>498</v>
      </c>
      <c r="AI72" s="15" t="s">
        <v>367</v>
      </c>
      <c r="AJ72" s="15"/>
      <c r="AK72" s="15"/>
      <c r="AL72" s="19" t="s">
        <v>499</v>
      </c>
      <c r="AM72" s="17"/>
    </row>
    <row r="73">
      <c r="A73" s="9" t="s">
        <v>500</v>
      </c>
      <c r="B73" s="9" t="s">
        <v>501</v>
      </c>
      <c r="C73" s="10" t="s">
        <v>363</v>
      </c>
      <c r="D73" s="11" t="s">
        <v>41</v>
      </c>
      <c r="E73" s="12">
        <v>45922.0</v>
      </c>
      <c r="F73" s="12">
        <v>46221.0</v>
      </c>
      <c r="G73" s="9"/>
      <c r="H73" s="9"/>
      <c r="I73" s="9" t="s">
        <v>502</v>
      </c>
      <c r="J73" s="11" t="s">
        <v>65</v>
      </c>
      <c r="K73" s="9">
        <v>60.0</v>
      </c>
      <c r="L73" s="9" t="s">
        <v>66</v>
      </c>
      <c r="M73" s="15">
        <v>250.0</v>
      </c>
      <c r="N73" s="15">
        <v>90.0</v>
      </c>
      <c r="O73" s="14"/>
      <c r="P73" s="14"/>
      <c r="Q73" s="15"/>
      <c r="R73" s="12">
        <v>45930.0</v>
      </c>
      <c r="S73" s="15">
        <v>150.0</v>
      </c>
      <c r="T73" s="15">
        <v>340.0</v>
      </c>
      <c r="U73" s="15">
        <v>190.0</v>
      </c>
      <c r="V73" s="16" t="s">
        <v>380</v>
      </c>
      <c r="W73" s="17">
        <v>4.0</v>
      </c>
      <c r="X73" s="15">
        <f t="shared" si="6"/>
        <v>56</v>
      </c>
      <c r="Y73" s="17">
        <v>57.0</v>
      </c>
      <c r="Z73" s="17">
        <v>228.0</v>
      </c>
      <c r="AA73" s="15">
        <v>34.2</v>
      </c>
      <c r="AB73" s="16"/>
      <c r="AC73" s="15">
        <f>IF(OR(L73="", AB73=""), 0,
  IF(L73="Découverte", KPI!$F$2,
    IF(L73="Essentiel", KPI!$F$3,
      IF(L73="Premium", KPI!$F$4, 0)
    )
  )
)</f>
        <v>0</v>
      </c>
      <c r="AD73" s="15">
        <f t="array" ref="AD73">IF(F73="", "", 
  (T73 / 1.21) 
  - IF(L73="Découverte", KPI!$C$2, 
      IF(L73="Essentiel", KPI!$C$3, 
        IF(L73="Premium", KPI!$C$4, 0)
      )
    ) 
  - N(X73) 
  - N(AA73) 
  - N(AC73)
  - IFERROR(INDEX(Stats!$G:$G, MATCH(DATE(YEAR(R73), MONTH(R73), 1), Stats!$A:$A, 0)), 35)
)</f>
        <v>135.1224022</v>
      </c>
      <c r="AE73" s="18"/>
      <c r="AF73" s="18"/>
      <c r="AG73" s="15"/>
      <c r="AH73" s="15" t="s">
        <v>503</v>
      </c>
      <c r="AI73" s="15" t="s">
        <v>504</v>
      </c>
      <c r="AJ73" s="15"/>
      <c r="AK73" s="15"/>
      <c r="AL73" s="19" t="s">
        <v>505</v>
      </c>
      <c r="AM73" s="17"/>
    </row>
    <row r="74">
      <c r="A74" s="9" t="s">
        <v>506</v>
      </c>
      <c r="B74" s="9" t="s">
        <v>507</v>
      </c>
      <c r="C74" s="10" t="s">
        <v>508</v>
      </c>
      <c r="D74" s="11" t="s">
        <v>41</v>
      </c>
      <c r="E74" s="12">
        <v>45922.0</v>
      </c>
      <c r="F74" s="12">
        <v>46256.0</v>
      </c>
      <c r="G74" s="9"/>
      <c r="H74" s="9"/>
      <c r="I74" s="9" t="s">
        <v>509</v>
      </c>
      <c r="J74" s="11" t="s">
        <v>65</v>
      </c>
      <c r="K74" s="9">
        <v>200.0</v>
      </c>
      <c r="L74" s="9" t="s">
        <v>43</v>
      </c>
      <c r="M74" s="15">
        <v>450.0</v>
      </c>
      <c r="N74" s="15">
        <v>90.0</v>
      </c>
      <c r="O74" s="14"/>
      <c r="P74" s="14"/>
      <c r="Q74" s="15"/>
      <c r="R74" s="12">
        <v>45931.0</v>
      </c>
      <c r="S74" s="15">
        <v>150.0</v>
      </c>
      <c r="T74" s="15">
        <v>540.0</v>
      </c>
      <c r="U74" s="15">
        <v>390.0</v>
      </c>
      <c r="V74" s="16"/>
      <c r="W74" s="17">
        <v>7.0</v>
      </c>
      <c r="X74" s="15">
        <f t="shared" si="6"/>
        <v>98</v>
      </c>
      <c r="Y74" s="17">
        <v>124.0</v>
      </c>
      <c r="Z74" s="17">
        <v>496.0</v>
      </c>
      <c r="AA74" s="15">
        <v>74.4</v>
      </c>
      <c r="AB74" s="16"/>
      <c r="AC74" s="15">
        <f>IF(OR(L74="", AB74=""), 0,
  IF(L74="Découverte", KPI!$F$2,
    IF(L74="Essentiel", KPI!$F$3,
      IF(L74="Premium", KPI!$F$4, 0)
    )
  )
)</f>
        <v>0</v>
      </c>
      <c r="AD74" s="15">
        <f t="array" ref="AD74">IF(F74="", "", 
  (T74 / 1.21) 
  - IF(L74="Découverte", KPI!$C$2, 
      IF(L74="Essentiel", KPI!$C$3, 
        IF(L74="Premium", KPI!$C$4, 0)
      )
    ) 
  - N(X74) 
  - N(AA74) 
  - N(AC74)
  - IFERROR(INDEX(Stats!$G:$G, MATCH(DATE(YEAR(R74), MONTH(R74), 1), Stats!$A:$A, 0)), 35)
)</f>
        <v>139.0579483</v>
      </c>
      <c r="AE74" s="18"/>
      <c r="AF74" s="18"/>
      <c r="AG74" s="15"/>
      <c r="AH74" s="15" t="s">
        <v>510</v>
      </c>
      <c r="AI74" s="15" t="s">
        <v>367</v>
      </c>
      <c r="AJ74" s="15"/>
      <c r="AK74" s="15"/>
      <c r="AL74" s="19" t="s">
        <v>511</v>
      </c>
      <c r="AM74" s="17"/>
    </row>
    <row r="75">
      <c r="A75" s="9" t="s">
        <v>512</v>
      </c>
      <c r="B75" s="9" t="s">
        <v>513</v>
      </c>
      <c r="C75" s="21"/>
      <c r="D75" s="11" t="s">
        <v>41</v>
      </c>
      <c r="E75" s="12">
        <v>45923.0</v>
      </c>
      <c r="F75" s="12">
        <v>45940.0</v>
      </c>
      <c r="G75" s="9"/>
      <c r="H75" s="9"/>
      <c r="I75" s="9" t="s">
        <v>408</v>
      </c>
      <c r="J75" s="11" t="s">
        <v>42</v>
      </c>
      <c r="K75" s="14"/>
      <c r="L75" s="9" t="s">
        <v>43</v>
      </c>
      <c r="M75" s="15">
        <v>450.0</v>
      </c>
      <c r="N75" s="15"/>
      <c r="O75" s="14"/>
      <c r="P75" s="9">
        <v>5.0</v>
      </c>
      <c r="Q75" s="15">
        <v>150.0</v>
      </c>
      <c r="R75" s="12"/>
      <c r="S75" s="15">
        <v>0.0</v>
      </c>
      <c r="T75" s="15">
        <v>600.0</v>
      </c>
      <c r="U75" s="15">
        <v>600.0</v>
      </c>
      <c r="V75" s="16" t="s">
        <v>44</v>
      </c>
      <c r="W75" s="17">
        <v>2.5</v>
      </c>
      <c r="X75" s="15">
        <v>70.0</v>
      </c>
      <c r="Y75" s="17">
        <v>5.0</v>
      </c>
      <c r="Z75" s="17">
        <v>20.0</v>
      </c>
      <c r="AA75" s="15">
        <v>3.0</v>
      </c>
      <c r="AB75" s="16"/>
      <c r="AC75" s="15">
        <f>IF(OR(L75="", AB75=""), 0,
  IF(L75="Découverte", KPI!$F$2,
    IF(L75="Essentiel", KPI!$F$3,
      IF(L75="Premium", KPI!$F$4, 0)
    )
  )
)</f>
        <v>0</v>
      </c>
      <c r="AD75" s="15">
        <f t="array" ref="AD75">IF(F75="", "", 
  (T75 / 1.21) 
  - IF(L75="Découverte", KPI!$C$2, 
      IF(L75="Essentiel", KPI!$C$3, 
        IF(L75="Premium", KPI!$C$4, 0)
      )
    ) 
  - N(X75) 
  - N(AA75) 
  - N(AC75)
  - IFERROR(INDEX(Stats!$G:$G, MATCH(DATE(YEAR(R75), MONTH(R75), 1), Stats!$A:$A, 0)), 35)
)</f>
        <v>295.3677686</v>
      </c>
      <c r="AE75" s="18"/>
      <c r="AF75" s="18"/>
      <c r="AG75" s="15"/>
      <c r="AH75" s="15" t="s">
        <v>514</v>
      </c>
      <c r="AI75" s="15" t="s">
        <v>515</v>
      </c>
      <c r="AJ75" s="15"/>
      <c r="AK75" s="15"/>
      <c r="AL75" s="19"/>
      <c r="AM75" s="17" t="s">
        <v>516</v>
      </c>
    </row>
    <row r="76">
      <c r="A76" s="9" t="s">
        <v>517</v>
      </c>
      <c r="B76" s="9" t="s">
        <v>518</v>
      </c>
      <c r="C76" s="21"/>
      <c r="D76" s="11" t="s">
        <v>41</v>
      </c>
      <c r="E76" s="12">
        <v>45924.0</v>
      </c>
      <c r="F76" s="12">
        <v>45926.0</v>
      </c>
      <c r="G76" s="9"/>
      <c r="H76" s="9"/>
      <c r="I76" s="9" t="s">
        <v>519</v>
      </c>
      <c r="J76" s="11" t="s">
        <v>42</v>
      </c>
      <c r="K76" s="14"/>
      <c r="L76" s="9" t="s">
        <v>66</v>
      </c>
      <c r="M76" s="15">
        <v>300.0</v>
      </c>
      <c r="N76" s="15"/>
      <c r="O76" s="14"/>
      <c r="P76" s="14"/>
      <c r="Q76" s="15"/>
      <c r="R76" s="12"/>
      <c r="S76" s="15">
        <v>0.0</v>
      </c>
      <c r="T76" s="15">
        <v>363.0</v>
      </c>
      <c r="U76" s="15">
        <v>363.0</v>
      </c>
      <c r="V76" s="16" t="s">
        <v>44</v>
      </c>
      <c r="W76" s="17">
        <v>2.5</v>
      </c>
      <c r="X76" s="15">
        <v>70.0</v>
      </c>
      <c r="Y76" s="17">
        <v>6.0</v>
      </c>
      <c r="Z76" s="17">
        <v>24.0</v>
      </c>
      <c r="AA76" s="15">
        <v>3.6</v>
      </c>
      <c r="AB76" s="16"/>
      <c r="AC76" s="15">
        <f>IF(OR(L76="", AB76=""), 0,
  IF(L76="Découverte", KPI!$F$2,
    IF(L76="Essentiel", KPI!$F$3,
      IF(L76="Premium", KPI!$F$4, 0)
    )
  )
)</f>
        <v>0</v>
      </c>
      <c r="AD76" s="15">
        <f t="array" ref="AD76">IF(F76="", "", 
  (T76 / 1.21) 
  - IF(L76="Découverte", KPI!$C$2, 
      IF(L76="Essentiel", KPI!$C$3, 
        IF(L76="Premium", KPI!$C$4, 0)
      )
    ) 
  - N(X76) 
  - N(AA76) 
  - N(AC76)
  - IFERROR(INDEX(Stats!$G:$G, MATCH(DATE(YEAR(R76), MONTH(R76), 1), Stats!$A:$A, 0)), 35)
)</f>
        <v>168.28</v>
      </c>
      <c r="AE76" s="18"/>
      <c r="AF76" s="18"/>
      <c r="AG76" s="15"/>
      <c r="AH76" s="15" t="s">
        <v>520</v>
      </c>
      <c r="AI76" s="15" t="s">
        <v>521</v>
      </c>
      <c r="AJ76" s="15"/>
      <c r="AK76" s="15"/>
      <c r="AL76" s="19"/>
      <c r="AM76" s="17" t="s">
        <v>522</v>
      </c>
    </row>
    <row r="77">
      <c r="A77" s="9" t="s">
        <v>523</v>
      </c>
      <c r="B77" s="9" t="s">
        <v>524</v>
      </c>
      <c r="C77" s="21"/>
      <c r="D77" s="11" t="s">
        <v>41</v>
      </c>
      <c r="E77" s="12">
        <v>45924.0</v>
      </c>
      <c r="F77" s="12">
        <v>46191.0</v>
      </c>
      <c r="G77" s="9"/>
      <c r="H77" s="9"/>
      <c r="I77" s="9" t="s">
        <v>153</v>
      </c>
      <c r="J77" s="11" t="s">
        <v>65</v>
      </c>
      <c r="K77" s="9">
        <v>120.0</v>
      </c>
      <c r="L77" s="9" t="s">
        <v>43</v>
      </c>
      <c r="M77" s="15">
        <v>450.0</v>
      </c>
      <c r="N77" s="15">
        <v>70.0</v>
      </c>
      <c r="O77" s="14"/>
      <c r="P77" s="14"/>
      <c r="Q77" s="15"/>
      <c r="R77" s="12">
        <v>45925.0</v>
      </c>
      <c r="S77" s="15">
        <v>150.0</v>
      </c>
      <c r="T77" s="15">
        <v>520.0</v>
      </c>
      <c r="U77" s="15">
        <v>370.0</v>
      </c>
      <c r="V77" s="16"/>
      <c r="W77" s="17">
        <v>4.0</v>
      </c>
      <c r="X77" s="15">
        <f t="shared" ref="X77:X140" si="7">IF(W77=0, " ",W77*14)</f>
        <v>56</v>
      </c>
      <c r="Y77" s="17">
        <v>53.0</v>
      </c>
      <c r="Z77" s="17">
        <v>212.0</v>
      </c>
      <c r="AA77" s="15">
        <v>31.8</v>
      </c>
      <c r="AB77" s="16"/>
      <c r="AC77" s="15">
        <f>IF(OR(L77="", AB77=""), 0,
  IF(L77="Découverte", KPI!$F$2,
    IF(L77="Essentiel", KPI!$F$3,
      IF(L77="Premium", KPI!$F$4, 0)
    )
  )
)</f>
        <v>0</v>
      </c>
      <c r="AD77" s="15">
        <f t="array" ref="AD77">IF(F77="", "", 
  (T77 / 1.21) 
  - IF(L77="Découverte", KPI!$C$2, 
      IF(L77="Essentiel", KPI!$C$3, 
        IF(L77="Premium", KPI!$C$4, 0)
      )
    ) 
  - N(X77) 
  - N(AA77) 
  - N(AC77)
  - IFERROR(INDEX(Stats!$G:$G, MATCH(DATE(YEAR(R77), MONTH(R77), 1), Stats!$A:$A, 0)), 35)
)</f>
        <v>216.9027328</v>
      </c>
      <c r="AE77" s="18"/>
      <c r="AF77" s="18"/>
      <c r="AG77" s="15"/>
      <c r="AH77" s="15" t="s">
        <v>525</v>
      </c>
      <c r="AI77" s="15" t="s">
        <v>462</v>
      </c>
      <c r="AJ77" s="15"/>
      <c r="AK77" s="15"/>
      <c r="AL77" s="19" t="s">
        <v>526</v>
      </c>
      <c r="AM77" s="17"/>
    </row>
    <row r="78">
      <c r="A78" s="9" t="s">
        <v>527</v>
      </c>
      <c r="B78" s="9" t="s">
        <v>528</v>
      </c>
      <c r="C78" s="10" t="s">
        <v>529</v>
      </c>
      <c r="D78" s="11" t="s">
        <v>41</v>
      </c>
      <c r="E78" s="12">
        <v>45924.0</v>
      </c>
      <c r="F78" s="12">
        <v>46228.0</v>
      </c>
      <c r="G78" s="9"/>
      <c r="H78" s="9"/>
      <c r="I78" s="9" t="s">
        <v>530</v>
      </c>
      <c r="J78" s="11" t="s">
        <v>65</v>
      </c>
      <c r="K78" s="9">
        <v>70.0</v>
      </c>
      <c r="L78" s="9" t="s">
        <v>50</v>
      </c>
      <c r="M78" s="15">
        <v>350.0</v>
      </c>
      <c r="N78" s="15">
        <v>70.0</v>
      </c>
      <c r="O78" s="14"/>
      <c r="P78" s="14"/>
      <c r="Q78" s="15"/>
      <c r="R78" s="12">
        <v>45930.0</v>
      </c>
      <c r="S78" s="15">
        <v>150.0</v>
      </c>
      <c r="T78" s="15">
        <v>420.0</v>
      </c>
      <c r="U78" s="15">
        <v>270.0</v>
      </c>
      <c r="V78" s="16"/>
      <c r="W78" s="17">
        <v>6.5</v>
      </c>
      <c r="X78" s="15">
        <f t="shared" si="7"/>
        <v>91</v>
      </c>
      <c r="Y78" s="17">
        <v>108.0</v>
      </c>
      <c r="Z78" s="17">
        <v>432.0</v>
      </c>
      <c r="AA78" s="22">
        <v>64.8</v>
      </c>
      <c r="AB78" s="16"/>
      <c r="AC78" s="15">
        <f>IF(OR(L78="", AB78=""), 0,
  IF(L78="Découverte", KPI!$F$2,
    IF(L78="Essentiel", KPI!$F$3,
      IF(L78="Premium", KPI!$F$4, 0)
    )
  )
)</f>
        <v>0</v>
      </c>
      <c r="AD78" s="15">
        <f t="array" ref="AD78">IF(F78="", "", 
  (T78 / 1.21) 
  - IF(L78="Découverte", KPI!$C$2, 
      IF(L78="Essentiel", KPI!$C$3, 
        IF(L78="Premium", KPI!$C$4, 0)
      )
    ) 
  - N(X78) 
  - N(AA78) 
  - N(AC78)
  - IFERROR(INDEX(Stats!$G:$G, MATCH(DATE(YEAR(R78), MONTH(R78), 1), Stats!$A:$A, 0)), 35)
)</f>
        <v>112.5081047</v>
      </c>
      <c r="AE78" s="18"/>
      <c r="AF78" s="18"/>
      <c r="AG78" s="15"/>
      <c r="AH78" s="15" t="s">
        <v>531</v>
      </c>
      <c r="AI78" s="15" t="s">
        <v>469</v>
      </c>
      <c r="AJ78" s="15"/>
      <c r="AK78" s="15"/>
      <c r="AL78" s="19" t="s">
        <v>532</v>
      </c>
      <c r="AM78" s="17"/>
    </row>
    <row r="79">
      <c r="A79" s="9" t="s">
        <v>533</v>
      </c>
      <c r="B79" s="9" t="s">
        <v>534</v>
      </c>
      <c r="C79" s="10" t="s">
        <v>535</v>
      </c>
      <c r="D79" s="11" t="s">
        <v>41</v>
      </c>
      <c r="E79" s="12">
        <v>45924.0</v>
      </c>
      <c r="F79" s="12">
        <v>46151.0</v>
      </c>
      <c r="G79" s="9"/>
      <c r="H79" s="9"/>
      <c r="I79" s="9" t="s">
        <v>536</v>
      </c>
      <c r="J79" s="11" t="s">
        <v>65</v>
      </c>
      <c r="K79" s="9">
        <v>80.0</v>
      </c>
      <c r="L79" s="9" t="s">
        <v>50</v>
      </c>
      <c r="M79" s="15">
        <v>350.0</v>
      </c>
      <c r="N79" s="15">
        <v>90.0</v>
      </c>
      <c r="O79" s="14"/>
      <c r="P79" s="14"/>
      <c r="Q79" s="15"/>
      <c r="R79" s="12">
        <v>45942.0</v>
      </c>
      <c r="S79" s="15">
        <v>150.0</v>
      </c>
      <c r="T79" s="15">
        <v>440.0</v>
      </c>
      <c r="U79" s="15">
        <v>290.0</v>
      </c>
      <c r="V79" s="16"/>
      <c r="W79" s="17">
        <v>5.5</v>
      </c>
      <c r="X79" s="15">
        <f t="shared" si="7"/>
        <v>77</v>
      </c>
      <c r="Y79" s="17">
        <v>85.0</v>
      </c>
      <c r="Z79" s="17">
        <v>340.0</v>
      </c>
      <c r="AA79" s="15">
        <v>51.0</v>
      </c>
      <c r="AB79" s="16" t="s">
        <v>537</v>
      </c>
      <c r="AC79" s="15">
        <f>IF(OR(L79="", AB79=""), 0,
  IF(L79="Découverte", KPI!$F$2,
    IF(L79="Essentiel", KPI!$F$3,
      IF(L79="Premium", KPI!$F$4, 0)
    )
  )
)</f>
        <v>45</v>
      </c>
      <c r="AD79" s="15">
        <f t="array" ref="AD79">IF(F79="", "", 
  (T79 / 1.21) 
  - IF(L79="Découverte", KPI!$C$2, 
      IF(L79="Essentiel", KPI!$C$3, 
        IF(L79="Premium", KPI!$C$4, 0)
      )
    ) 
  - N(X79) 
  - N(AA79) 
  - N(AC79)
  - IFERROR(INDEX(Stats!$G:$G, MATCH(DATE(YEAR(R79), MONTH(R79), 1), Stats!$A:$A, 0)), 35)
)</f>
        <v>102.0633202</v>
      </c>
      <c r="AE79" s="18"/>
      <c r="AF79" s="18"/>
      <c r="AG79" s="15"/>
      <c r="AH79" s="15" t="s">
        <v>538</v>
      </c>
      <c r="AI79" s="15" t="s">
        <v>539</v>
      </c>
      <c r="AJ79" s="15"/>
      <c r="AK79" s="15"/>
      <c r="AL79" s="19" t="s">
        <v>540</v>
      </c>
      <c r="AM79" s="17"/>
    </row>
    <row r="80">
      <c r="A80" s="9" t="s">
        <v>541</v>
      </c>
      <c r="B80" s="9" t="s">
        <v>542</v>
      </c>
      <c r="C80" s="10" t="s">
        <v>543</v>
      </c>
      <c r="D80" s="11" t="s">
        <v>41</v>
      </c>
      <c r="E80" s="12">
        <v>45924.0</v>
      </c>
      <c r="F80" s="12">
        <v>45990.0</v>
      </c>
      <c r="G80" s="9"/>
      <c r="H80" s="9"/>
      <c r="I80" s="9" t="s">
        <v>544</v>
      </c>
      <c r="J80" s="11" t="s">
        <v>423</v>
      </c>
      <c r="K80" s="9">
        <v>50.0</v>
      </c>
      <c r="L80" s="9" t="s">
        <v>66</v>
      </c>
      <c r="M80" s="15">
        <v>250.0</v>
      </c>
      <c r="N80" s="15">
        <v>50.0</v>
      </c>
      <c r="O80" s="14"/>
      <c r="P80" s="14"/>
      <c r="Q80" s="15"/>
      <c r="R80" s="12">
        <v>45936.0</v>
      </c>
      <c r="S80" s="15">
        <v>150.0</v>
      </c>
      <c r="T80" s="15">
        <v>300.0</v>
      </c>
      <c r="U80" s="15">
        <v>150.0</v>
      </c>
      <c r="V80" s="16" t="s">
        <v>380</v>
      </c>
      <c r="W80" s="17">
        <v>2.0</v>
      </c>
      <c r="X80" s="15">
        <f t="shared" si="7"/>
        <v>28</v>
      </c>
      <c r="Y80" s="17">
        <v>4.0</v>
      </c>
      <c r="Z80" s="17">
        <v>16.0</v>
      </c>
      <c r="AA80" s="15">
        <v>2.4</v>
      </c>
      <c r="AB80" s="16"/>
      <c r="AC80" s="15">
        <f>IF(OR(L80="", AB80=""), 0,
  IF(L80="Découverte", KPI!$F$2,
    IF(L80="Essentiel", KPI!$F$3,
      IF(L80="Premium", KPI!$F$4, 0)
    )
  )
)</f>
        <v>0</v>
      </c>
      <c r="AD80" s="15">
        <f t="array" ref="AD80">IF(F80="", "", 
  (T80 / 1.21) 
  - IF(L80="Découverte", KPI!$C$2, 
      IF(L80="Essentiel", KPI!$C$3, 
        IF(L80="Premium", KPI!$C$4, 0)
      )
    ) 
  - N(X80) 
  - N(AA80) 
  - N(AC80)
  - IFERROR(INDEX(Stats!$G:$G, MATCH(DATE(YEAR(R80), MONTH(R80), 1), Stats!$A:$A, 0)), 35)
)</f>
        <v>152.0908408</v>
      </c>
      <c r="AE80" s="18"/>
      <c r="AF80" s="18"/>
      <c r="AG80" s="15"/>
      <c r="AH80" s="15" t="s">
        <v>545</v>
      </c>
      <c r="AI80" s="15" t="s">
        <v>546</v>
      </c>
      <c r="AJ80" s="15" t="s">
        <v>547</v>
      </c>
      <c r="AK80" s="15"/>
      <c r="AL80" s="19" t="s">
        <v>548</v>
      </c>
      <c r="AM80" s="17" t="s">
        <v>549</v>
      </c>
    </row>
    <row r="81">
      <c r="A81" s="9" t="s">
        <v>550</v>
      </c>
      <c r="B81" s="9" t="s">
        <v>551</v>
      </c>
      <c r="C81" s="10" t="s">
        <v>552</v>
      </c>
      <c r="D81" s="11" t="s">
        <v>41</v>
      </c>
      <c r="E81" s="12">
        <v>45926.0</v>
      </c>
      <c r="F81" s="12">
        <v>45961.0</v>
      </c>
      <c r="G81" s="9"/>
      <c r="H81" s="9"/>
      <c r="I81" s="9" t="s">
        <v>553</v>
      </c>
      <c r="J81" s="11" t="s">
        <v>423</v>
      </c>
      <c r="K81" s="9">
        <v>50.0</v>
      </c>
      <c r="L81" s="9" t="s">
        <v>66</v>
      </c>
      <c r="M81" s="15">
        <v>250.0</v>
      </c>
      <c r="N81" s="15">
        <v>70.0</v>
      </c>
      <c r="O81" s="14"/>
      <c r="P81" s="14"/>
      <c r="Q81" s="15"/>
      <c r="R81" s="12">
        <v>45938.0</v>
      </c>
      <c r="S81" s="15">
        <v>150.0</v>
      </c>
      <c r="T81" s="15">
        <v>320.0</v>
      </c>
      <c r="U81" s="15">
        <v>170.0</v>
      </c>
      <c r="V81" s="16" t="s">
        <v>380</v>
      </c>
      <c r="W81" s="17">
        <v>6.0</v>
      </c>
      <c r="X81" s="15">
        <f t="shared" si="7"/>
        <v>84</v>
      </c>
      <c r="Y81" s="17">
        <v>104.0</v>
      </c>
      <c r="Z81" s="17">
        <f>IF(Y81=0,"", Y81 * 4)</f>
        <v>416</v>
      </c>
      <c r="AA81" s="15">
        <f>IF(Z81=0, " ", Z81*0.15)</f>
        <v>62.4</v>
      </c>
      <c r="AB81" s="16"/>
      <c r="AC81" s="15">
        <f>IF(OR(L81="", AB81=""), 0,
  IF(L81="Découverte", KPI!$F$2,
    IF(L81="Essentiel", KPI!$F$3,
      IF(L81="Premium", KPI!$F$4, 0)
    )
  )
)</f>
        <v>0</v>
      </c>
      <c r="AD81" s="15">
        <f t="array" ref="AD81">IF(F81="", "", 
  (T81 / 1.21) 
  - IF(L81="Découverte", KPI!$C$2, 
      IF(L81="Essentiel", KPI!$C$3, 
        IF(L81="Premium", KPI!$C$4, 0)
      )
    ) 
  - N(X81) 
  - N(AA81) 
  - N(AC81)
  - IFERROR(INDEX(Stats!$G:$G, MATCH(DATE(YEAR(R81), MONTH(R81), 1), Stats!$A:$A, 0)), 35)
)</f>
        <v>52.61976644</v>
      </c>
      <c r="AE81" s="18"/>
      <c r="AF81" s="18"/>
      <c r="AG81" s="15"/>
      <c r="AH81" s="15" t="s">
        <v>554</v>
      </c>
      <c r="AI81" s="15" t="s">
        <v>476</v>
      </c>
      <c r="AJ81" s="15"/>
      <c r="AK81" s="15"/>
      <c r="AL81" s="19" t="s">
        <v>555</v>
      </c>
      <c r="AM81" s="17" t="s">
        <v>556</v>
      </c>
    </row>
    <row r="82">
      <c r="A82" s="9" t="s">
        <v>557</v>
      </c>
      <c r="B82" s="9" t="s">
        <v>558</v>
      </c>
      <c r="C82" s="10" t="s">
        <v>559</v>
      </c>
      <c r="D82" s="11" t="s">
        <v>41</v>
      </c>
      <c r="E82" s="12">
        <v>45927.0</v>
      </c>
      <c r="F82" s="12">
        <v>46158.0</v>
      </c>
      <c r="G82" s="9"/>
      <c r="H82" s="9"/>
      <c r="I82" s="9" t="s">
        <v>560</v>
      </c>
      <c r="J82" s="11" t="s">
        <v>65</v>
      </c>
      <c r="K82" s="9">
        <v>100.0</v>
      </c>
      <c r="L82" s="9" t="s">
        <v>66</v>
      </c>
      <c r="M82" s="15">
        <v>250.0</v>
      </c>
      <c r="N82" s="15">
        <v>90.0</v>
      </c>
      <c r="O82" s="14"/>
      <c r="P82" s="14"/>
      <c r="Q82" s="15"/>
      <c r="R82" s="12">
        <v>45939.0</v>
      </c>
      <c r="S82" s="15">
        <v>150.0</v>
      </c>
      <c r="T82" s="15">
        <v>340.0</v>
      </c>
      <c r="U82" s="15">
        <v>190.0</v>
      </c>
      <c r="V82" s="16"/>
      <c r="W82" s="17">
        <v>6.5</v>
      </c>
      <c r="X82" s="15">
        <f t="shared" si="7"/>
        <v>91</v>
      </c>
      <c r="Y82" s="17">
        <v>125.0</v>
      </c>
      <c r="Z82" s="17">
        <v>500.0</v>
      </c>
      <c r="AA82" s="15">
        <v>75.0</v>
      </c>
      <c r="AB82" s="16"/>
      <c r="AC82" s="15">
        <f>IF(OR(L82="", AB82=""), 0,
  IF(L82="Découverte", KPI!$F$2,
    IF(L82="Essentiel", KPI!$F$3,
      IF(L82="Premium", KPI!$F$4, 0)
    )
  )
)</f>
        <v>0</v>
      </c>
      <c r="AD82" s="15">
        <f t="array" ref="AD82">IF(F82="", "", 
  (T82 / 1.21) 
  - IF(L82="Découverte", KPI!$C$2, 
      IF(L82="Essentiel", KPI!$C$3, 
        IF(L82="Premium", KPI!$C$4, 0)
      )
    ) 
  - N(X82) 
  - N(AA82) 
  - N(AC82)
  - IFERROR(INDEX(Stats!$G:$G, MATCH(DATE(YEAR(R82), MONTH(R82), 1), Stats!$A:$A, 0)), 35)
)</f>
        <v>49.54869206</v>
      </c>
      <c r="AE82" s="18"/>
      <c r="AF82" s="18"/>
      <c r="AG82" s="15"/>
      <c r="AH82" s="15" t="s">
        <v>561</v>
      </c>
      <c r="AI82" s="15" t="s">
        <v>562</v>
      </c>
      <c r="AJ82" s="15"/>
      <c r="AK82" s="15"/>
      <c r="AL82" s="19" t="s">
        <v>563</v>
      </c>
      <c r="AM82" s="17"/>
    </row>
    <row r="83">
      <c r="A83" s="9" t="s">
        <v>564</v>
      </c>
      <c r="B83" s="9" t="s">
        <v>565</v>
      </c>
      <c r="C83" s="10" t="s">
        <v>566</v>
      </c>
      <c r="D83" s="11" t="s">
        <v>41</v>
      </c>
      <c r="E83" s="12">
        <v>45929.0</v>
      </c>
      <c r="F83" s="12">
        <v>45947.0</v>
      </c>
      <c r="G83" s="9"/>
      <c r="H83" s="9"/>
      <c r="I83" s="9" t="s">
        <v>567</v>
      </c>
      <c r="J83" s="11" t="s">
        <v>42</v>
      </c>
      <c r="K83" s="9">
        <v>100.0</v>
      </c>
      <c r="L83" s="9" t="s">
        <v>66</v>
      </c>
      <c r="M83" s="15">
        <v>250.0</v>
      </c>
      <c r="N83" s="15">
        <v>70.0</v>
      </c>
      <c r="O83" s="14"/>
      <c r="P83" s="14"/>
      <c r="Q83" s="15"/>
      <c r="R83" s="12">
        <v>45941.0</v>
      </c>
      <c r="S83" s="15">
        <v>150.0</v>
      </c>
      <c r="T83" s="15">
        <v>320.0</v>
      </c>
      <c r="U83" s="15">
        <v>170.0</v>
      </c>
      <c r="V83" s="16"/>
      <c r="W83" s="17">
        <v>2.0</v>
      </c>
      <c r="X83" s="15">
        <f t="shared" si="7"/>
        <v>28</v>
      </c>
      <c r="Y83" s="17">
        <v>10.0</v>
      </c>
      <c r="Z83" s="17">
        <v>40.0</v>
      </c>
      <c r="AA83" s="15">
        <v>6.0</v>
      </c>
      <c r="AB83" s="16"/>
      <c r="AC83" s="15">
        <f>IF(OR(L83="", AB83=""), 0,
  IF(L83="Découverte", KPI!$F$2,
    IF(L83="Essentiel", KPI!$F$3,
      IF(L83="Premium", KPI!$F$4, 0)
    )
  )
)</f>
        <v>0</v>
      </c>
      <c r="AD83" s="15">
        <f t="array" ref="AD83">IF(F83="", "", 
  (T83 / 1.21) 
  - IF(L83="Découverte", KPI!$C$2, 
      IF(L83="Essentiel", KPI!$C$3, 
        IF(L83="Premium", KPI!$C$4, 0)
      )
    ) 
  - N(X83) 
  - N(AA83) 
  - N(AC83)
  - IFERROR(INDEX(Stats!$G:$G, MATCH(DATE(YEAR(R83), MONTH(R83), 1), Stats!$A:$A, 0)), 35)
)</f>
        <v>165.0197664</v>
      </c>
      <c r="AE83" s="18"/>
      <c r="AF83" s="18"/>
      <c r="AG83" s="15"/>
      <c r="AH83" s="15" t="s">
        <v>568</v>
      </c>
      <c r="AI83" s="15" t="s">
        <v>569</v>
      </c>
      <c r="AJ83" s="15"/>
      <c r="AK83" s="15"/>
      <c r="AL83" s="19" t="s">
        <v>570</v>
      </c>
      <c r="AM83" s="17" t="s">
        <v>571</v>
      </c>
    </row>
    <row r="84">
      <c r="A84" s="9" t="s">
        <v>572</v>
      </c>
      <c r="B84" s="9" t="s">
        <v>573</v>
      </c>
      <c r="C84" s="10" t="s">
        <v>574</v>
      </c>
      <c r="D84" s="11" t="s">
        <v>41</v>
      </c>
      <c r="E84" s="12">
        <v>45929.0</v>
      </c>
      <c r="F84" s="12">
        <v>45969.0</v>
      </c>
      <c r="G84" s="9"/>
      <c r="H84" s="9"/>
      <c r="I84" s="9" t="s">
        <v>431</v>
      </c>
      <c r="J84" s="11" t="s">
        <v>65</v>
      </c>
      <c r="K84" s="9">
        <v>300.0</v>
      </c>
      <c r="L84" s="9" t="s">
        <v>66</v>
      </c>
      <c r="M84" s="15">
        <v>250.0</v>
      </c>
      <c r="N84" s="15">
        <v>90.0</v>
      </c>
      <c r="O84" s="14"/>
      <c r="P84" s="14"/>
      <c r="Q84" s="15"/>
      <c r="R84" s="12">
        <v>45940.0</v>
      </c>
      <c r="S84" s="15">
        <v>150.0</v>
      </c>
      <c r="T84" s="15">
        <v>340.0</v>
      </c>
      <c r="U84" s="15">
        <v>190.0</v>
      </c>
      <c r="V84" s="16" t="s">
        <v>380</v>
      </c>
      <c r="W84" s="17">
        <v>3.0</v>
      </c>
      <c r="X84" s="15">
        <f t="shared" si="7"/>
        <v>42</v>
      </c>
      <c r="Y84" s="17">
        <v>3.0</v>
      </c>
      <c r="Z84" s="17">
        <f t="shared" ref="Z84:Z87" si="8">IF(Y84=0,"", Y84 * 4)</f>
        <v>12</v>
      </c>
      <c r="AA84" s="15">
        <f t="shared" ref="AA84:AA87" si="9">IF(Z84=0,"", Z84 * 0.15)</f>
        <v>1.8</v>
      </c>
      <c r="AB84" s="16"/>
      <c r="AC84" s="15">
        <f>IF(OR(L84="", AB84=""), 0,
  IF(L84="Découverte", KPI!$F$2,
    IF(L84="Essentiel", KPI!$F$3,
      IF(L84="Premium", KPI!$F$4, 0)
    )
  )
)</f>
        <v>0</v>
      </c>
      <c r="AD84" s="15">
        <f t="array" ref="AD84">IF(F84="", "", 
  (T84 / 1.21) 
  - IF(L84="Découverte", KPI!$C$2, 
      IF(L84="Essentiel", KPI!$C$3, 
        IF(L84="Premium", KPI!$C$4, 0)
      )
    ) 
  - N(X84) 
  - N(AA84) 
  - N(AC84)
  - IFERROR(INDEX(Stats!$G:$G, MATCH(DATE(YEAR(R84), MONTH(R84), 1), Stats!$A:$A, 0)), 35)
)</f>
        <v>171.7486921</v>
      </c>
      <c r="AE84" s="18"/>
      <c r="AF84" s="18"/>
      <c r="AG84" s="15"/>
      <c r="AH84" s="15" t="s">
        <v>575</v>
      </c>
      <c r="AI84" s="15" t="s">
        <v>576</v>
      </c>
      <c r="AJ84" s="15"/>
      <c r="AK84" s="15"/>
      <c r="AL84" s="19" t="s">
        <v>577</v>
      </c>
      <c r="AM84" s="17" t="s">
        <v>578</v>
      </c>
    </row>
    <row r="85">
      <c r="A85" s="9" t="s">
        <v>579</v>
      </c>
      <c r="B85" s="9" t="s">
        <v>580</v>
      </c>
      <c r="C85" s="10" t="s">
        <v>581</v>
      </c>
      <c r="D85" s="11" t="s">
        <v>41</v>
      </c>
      <c r="E85" s="12">
        <v>45930.0</v>
      </c>
      <c r="F85" s="12">
        <v>45955.0</v>
      </c>
      <c r="G85" s="9"/>
      <c r="H85" s="9"/>
      <c r="I85" s="9" t="s">
        <v>582</v>
      </c>
      <c r="J85" s="11" t="s">
        <v>65</v>
      </c>
      <c r="K85" s="9">
        <v>400.0</v>
      </c>
      <c r="L85" s="9" t="s">
        <v>50</v>
      </c>
      <c r="M85" s="15">
        <v>350.0</v>
      </c>
      <c r="N85" s="15">
        <v>90.0</v>
      </c>
      <c r="O85" s="14"/>
      <c r="P85" s="14"/>
      <c r="Q85" s="15"/>
      <c r="R85" s="12">
        <v>45940.0</v>
      </c>
      <c r="S85" s="15">
        <v>150.0</v>
      </c>
      <c r="T85" s="15">
        <v>440.0</v>
      </c>
      <c r="U85" s="15">
        <v>290.0</v>
      </c>
      <c r="V85" s="16" t="s">
        <v>380</v>
      </c>
      <c r="W85" s="17">
        <v>5.0</v>
      </c>
      <c r="X85" s="15">
        <f t="shared" si="7"/>
        <v>70</v>
      </c>
      <c r="Y85" s="17">
        <v>60.0</v>
      </c>
      <c r="Z85" s="17">
        <f t="shared" si="8"/>
        <v>240</v>
      </c>
      <c r="AA85" s="15">
        <f t="shared" si="9"/>
        <v>36</v>
      </c>
      <c r="AB85" s="16"/>
      <c r="AC85" s="15">
        <f>IF(OR(L85="", AB85=""), 0,
  IF(L85="Découverte", KPI!$F$2,
    IF(L85="Essentiel", KPI!$F$3,
      IF(L85="Premium", KPI!$F$4, 0)
    )
  )
)</f>
        <v>0</v>
      </c>
      <c r="AD85" s="15">
        <f t="array" ref="AD85">IF(F85="", "", 
  (T85 / 1.21) 
  - IF(L85="Découverte", KPI!$C$2, 
      IF(L85="Essentiel", KPI!$C$3, 
        IF(L85="Premium", KPI!$C$4, 0)
      )
    ) 
  - N(X85) 
  - N(AA85) 
  - N(AC85)
  - IFERROR(INDEX(Stats!$G:$G, MATCH(DATE(YEAR(R85), MONTH(R85), 1), Stats!$A:$A, 0)), 35)
)</f>
        <v>169.0633202</v>
      </c>
      <c r="AE85" s="18"/>
      <c r="AF85" s="18"/>
      <c r="AG85" s="15"/>
      <c r="AH85" s="15" t="s">
        <v>583</v>
      </c>
      <c r="AI85" s="15" t="s">
        <v>569</v>
      </c>
      <c r="AJ85" s="15"/>
      <c r="AK85" s="15"/>
      <c r="AL85" s="19" t="s">
        <v>584</v>
      </c>
      <c r="AM85" s="17" t="s">
        <v>585</v>
      </c>
    </row>
    <row r="86">
      <c r="A86" s="9" t="s">
        <v>586</v>
      </c>
      <c r="B86" s="9" t="s">
        <v>587</v>
      </c>
      <c r="C86" s="10" t="s">
        <v>588</v>
      </c>
      <c r="D86" s="11" t="s">
        <v>41</v>
      </c>
      <c r="E86" s="12">
        <v>45930.0</v>
      </c>
      <c r="F86" s="12">
        <v>45962.0</v>
      </c>
      <c r="G86" s="9"/>
      <c r="H86" s="9"/>
      <c r="I86" s="9" t="s">
        <v>589</v>
      </c>
      <c r="J86" s="11" t="s">
        <v>590</v>
      </c>
      <c r="K86" s="9">
        <v>80.0</v>
      </c>
      <c r="L86" s="9" t="s">
        <v>66</v>
      </c>
      <c r="M86" s="15">
        <v>250.0</v>
      </c>
      <c r="N86" s="15">
        <v>50.0</v>
      </c>
      <c r="O86" s="14"/>
      <c r="P86" s="14"/>
      <c r="Q86" s="15"/>
      <c r="R86" s="12">
        <v>45933.0</v>
      </c>
      <c r="S86" s="15">
        <v>150.0</v>
      </c>
      <c r="T86" s="15">
        <v>300.0</v>
      </c>
      <c r="U86" s="15">
        <v>150.0</v>
      </c>
      <c r="V86" s="16" t="s">
        <v>380</v>
      </c>
      <c r="W86" s="17">
        <v>2.0</v>
      </c>
      <c r="X86" s="15">
        <f t="shared" si="7"/>
        <v>28</v>
      </c>
      <c r="Y86" s="17">
        <v>20.0</v>
      </c>
      <c r="Z86" s="17">
        <f t="shared" si="8"/>
        <v>80</v>
      </c>
      <c r="AA86" s="15">
        <f t="shared" si="9"/>
        <v>12</v>
      </c>
      <c r="AB86" s="16"/>
      <c r="AC86" s="15">
        <f>IF(OR(L86="", AB86=""), 0,
  IF(L86="Découverte", KPI!$F$2,
    IF(L86="Essentiel", KPI!$F$3,
      IF(L86="Premium", KPI!$F$4, 0)
    )
  )
)</f>
        <v>0</v>
      </c>
      <c r="AD86" s="15">
        <f t="array" ref="AD86">IF(F86="", "", 
  (T86 / 1.21) 
  - IF(L86="Découverte", KPI!$C$2, 
      IF(L86="Essentiel", KPI!$C$3, 
        IF(L86="Premium", KPI!$C$4, 0)
      )
    ) 
  - N(X86) 
  - N(AA86) 
  - N(AC86)
  - IFERROR(INDEX(Stats!$G:$G, MATCH(DATE(YEAR(R86), MONTH(R86), 1), Stats!$A:$A, 0)), 35)
)</f>
        <v>142.4908408</v>
      </c>
      <c r="AE86" s="18"/>
      <c r="AF86" s="18"/>
      <c r="AG86" s="15"/>
      <c r="AH86" s="15" t="s">
        <v>591</v>
      </c>
      <c r="AI86" s="15" t="s">
        <v>592</v>
      </c>
      <c r="AJ86" s="15"/>
      <c r="AK86" s="15"/>
      <c r="AL86" s="19" t="s">
        <v>593</v>
      </c>
      <c r="AM86" s="17" t="s">
        <v>594</v>
      </c>
    </row>
    <row r="87">
      <c r="A87" s="9" t="s">
        <v>595</v>
      </c>
      <c r="B87" s="9" t="s">
        <v>596</v>
      </c>
      <c r="C87" s="10" t="s">
        <v>597</v>
      </c>
      <c r="D87" s="11" t="s">
        <v>41</v>
      </c>
      <c r="E87" s="12">
        <v>45931.0</v>
      </c>
      <c r="F87" s="12">
        <v>45977.0</v>
      </c>
      <c r="G87" s="9"/>
      <c r="H87" s="9"/>
      <c r="I87" s="9" t="s">
        <v>598</v>
      </c>
      <c r="J87" s="11" t="s">
        <v>590</v>
      </c>
      <c r="K87" s="9">
        <v>50.0</v>
      </c>
      <c r="L87" s="9" t="s">
        <v>50</v>
      </c>
      <c r="M87" s="15">
        <v>350.0</v>
      </c>
      <c r="N87" s="15">
        <v>90.0</v>
      </c>
      <c r="O87" s="14"/>
      <c r="P87" s="14"/>
      <c r="Q87" s="15"/>
      <c r="R87" s="12">
        <v>45945.0</v>
      </c>
      <c r="S87" s="15">
        <v>150.0</v>
      </c>
      <c r="T87" s="15">
        <v>440.0</v>
      </c>
      <c r="U87" s="15">
        <v>290.0</v>
      </c>
      <c r="V87" s="16" t="s">
        <v>380</v>
      </c>
      <c r="W87" s="17">
        <v>6.0</v>
      </c>
      <c r="X87" s="15">
        <f t="shared" si="7"/>
        <v>84</v>
      </c>
      <c r="Y87" s="17">
        <v>90.0</v>
      </c>
      <c r="Z87" s="17">
        <f t="shared" si="8"/>
        <v>360</v>
      </c>
      <c r="AA87" s="15">
        <f t="shared" si="9"/>
        <v>54</v>
      </c>
      <c r="AB87" s="16"/>
      <c r="AC87" s="15">
        <f>IF(OR(L87="", AB87=""), 0,
  IF(L87="Découverte", KPI!$F$2,
    IF(L87="Essentiel", KPI!$F$3,
      IF(L87="Premium", KPI!$F$4, 0)
    )
  )
)</f>
        <v>0</v>
      </c>
      <c r="AD87" s="15">
        <f t="array" ref="AD87">IF(F87="", "", 
  (T87 / 1.21) 
  - IF(L87="Découverte", KPI!$C$2, 
      IF(L87="Essentiel", KPI!$C$3, 
        IF(L87="Premium", KPI!$C$4, 0)
      )
    ) 
  - N(X87) 
  - N(AA87) 
  - N(AC87)
  - IFERROR(INDEX(Stats!$G:$G, MATCH(DATE(YEAR(R87), MONTH(R87), 1), Stats!$A:$A, 0)), 35)
)</f>
        <v>137.0633202</v>
      </c>
      <c r="AE87" s="18"/>
      <c r="AF87" s="18"/>
      <c r="AG87" s="15"/>
      <c r="AH87" s="15" t="s">
        <v>599</v>
      </c>
      <c r="AI87" s="15" t="s">
        <v>600</v>
      </c>
      <c r="AJ87" s="15"/>
      <c r="AK87" s="15"/>
      <c r="AL87" s="19" t="s">
        <v>601</v>
      </c>
      <c r="AM87" s="17" t="s">
        <v>602</v>
      </c>
    </row>
    <row r="88">
      <c r="A88" s="9" t="s">
        <v>603</v>
      </c>
      <c r="B88" s="9" t="s">
        <v>604</v>
      </c>
      <c r="C88" s="10" t="s">
        <v>605</v>
      </c>
      <c r="D88" s="11" t="s">
        <v>41</v>
      </c>
      <c r="E88" s="12">
        <v>45935.0</v>
      </c>
      <c r="F88" s="12">
        <v>46256.0</v>
      </c>
      <c r="G88" s="9"/>
      <c r="H88" s="9"/>
      <c r="I88" s="9" t="s">
        <v>606</v>
      </c>
      <c r="J88" s="11" t="s">
        <v>65</v>
      </c>
      <c r="K88" s="9">
        <v>100.0</v>
      </c>
      <c r="L88" s="9" t="s">
        <v>50</v>
      </c>
      <c r="M88" s="15">
        <v>390.0</v>
      </c>
      <c r="N88" s="15">
        <v>90.0</v>
      </c>
      <c r="O88" s="14"/>
      <c r="P88" s="14"/>
      <c r="Q88" s="15"/>
      <c r="R88" s="12">
        <v>45937.0</v>
      </c>
      <c r="S88" s="15">
        <v>150.0</v>
      </c>
      <c r="T88" s="15">
        <v>480.0</v>
      </c>
      <c r="U88" s="15">
        <v>330.0</v>
      </c>
      <c r="V88" s="16"/>
      <c r="W88" s="17">
        <v>6.0</v>
      </c>
      <c r="X88" s="15">
        <f t="shared" si="7"/>
        <v>84</v>
      </c>
      <c r="Y88" s="17">
        <v>94.0</v>
      </c>
      <c r="Z88" s="17">
        <v>376.0</v>
      </c>
      <c r="AA88" s="15">
        <v>56.4</v>
      </c>
      <c r="AB88" s="16"/>
      <c r="AC88" s="15">
        <f>IF(OR(L88="", AB88=""), 0,
  IF(L88="Découverte", KPI!$F$2,
    IF(L88="Essentiel", KPI!$F$3,
      IF(L88="Premium", KPI!$F$4, 0)
    )
  )
)</f>
        <v>0</v>
      </c>
      <c r="AD88" s="15">
        <f t="array" ref="AD88">IF(F88="", "", 
  (T88 / 1.21) 
  - IF(L88="Découverte", KPI!$C$2, 
      IF(L88="Essentiel", KPI!$C$3, 
        IF(L88="Premium", KPI!$C$4, 0)
      )
    ) 
  - N(X88) 
  - N(AA88) 
  - N(AC88)
  - IFERROR(INDEX(Stats!$G:$G, MATCH(DATE(YEAR(R88), MONTH(R88), 1), Stats!$A:$A, 0)), 35)
)</f>
        <v>167.7211714</v>
      </c>
      <c r="AE88" s="18"/>
      <c r="AF88" s="18"/>
      <c r="AG88" s="15"/>
      <c r="AH88" s="15" t="s">
        <v>607</v>
      </c>
      <c r="AI88" s="15" t="s">
        <v>608</v>
      </c>
      <c r="AJ88" s="15"/>
      <c r="AK88" s="15"/>
      <c r="AL88" s="19" t="s">
        <v>609</v>
      </c>
      <c r="AM88" s="17"/>
    </row>
    <row r="89">
      <c r="A89" s="9" t="s">
        <v>610</v>
      </c>
      <c r="B89" s="9" t="s">
        <v>611</v>
      </c>
      <c r="C89" s="10" t="s">
        <v>612</v>
      </c>
      <c r="D89" s="11" t="s">
        <v>41</v>
      </c>
      <c r="E89" s="12">
        <v>45936.0</v>
      </c>
      <c r="F89" s="12">
        <v>46255.0</v>
      </c>
      <c r="G89" s="9"/>
      <c r="H89" s="9"/>
      <c r="I89" s="9" t="s">
        <v>613</v>
      </c>
      <c r="J89" s="11" t="s">
        <v>65</v>
      </c>
      <c r="K89" s="9">
        <v>250.0</v>
      </c>
      <c r="L89" s="9" t="s">
        <v>43</v>
      </c>
      <c r="M89" s="15">
        <v>490.0</v>
      </c>
      <c r="N89" s="15">
        <v>90.0</v>
      </c>
      <c r="O89" s="14"/>
      <c r="P89" s="14"/>
      <c r="Q89" s="15"/>
      <c r="R89" s="12">
        <v>45939.0</v>
      </c>
      <c r="S89" s="15">
        <v>150.0</v>
      </c>
      <c r="T89" s="15">
        <v>580.0</v>
      </c>
      <c r="U89" s="15">
        <v>430.0</v>
      </c>
      <c r="V89" s="16"/>
      <c r="W89" s="17">
        <v>3.0</v>
      </c>
      <c r="X89" s="15">
        <f t="shared" si="7"/>
        <v>42</v>
      </c>
      <c r="Y89" s="17">
        <v>30.0</v>
      </c>
      <c r="Z89" s="17">
        <v>120.0</v>
      </c>
      <c r="AA89" s="15">
        <v>18.0</v>
      </c>
      <c r="AB89" s="16"/>
      <c r="AC89" s="15">
        <f>IF(OR(L89="", AB89=""), 0,
  IF(L89="Découverte", KPI!$F$2,
    IF(L89="Essentiel", KPI!$F$3,
      IF(L89="Premium", KPI!$F$4, 0)
    )
  )
)</f>
        <v>0</v>
      </c>
      <c r="AD89" s="15">
        <f t="array" ref="AD89">IF(F89="", "", 
  (T89 / 1.21) 
  - IF(L89="Découverte", KPI!$C$2, 
      IF(L89="Essentiel", KPI!$C$3, 
        IF(L89="Premium", KPI!$C$4, 0)
      )
    ) 
  - N(X89) 
  - N(AA89) 
  - N(AC89)
  - IFERROR(INDEX(Stats!$G:$G, MATCH(DATE(YEAR(R89), MONTH(R89), 1), Stats!$A:$A, 0)), 35)
)</f>
        <v>284.5157995</v>
      </c>
      <c r="AE89" s="18"/>
      <c r="AF89" s="18"/>
      <c r="AG89" s="15"/>
      <c r="AH89" s="15" t="s">
        <v>614</v>
      </c>
      <c r="AI89" s="15" t="s">
        <v>608</v>
      </c>
      <c r="AJ89" s="15"/>
      <c r="AK89" s="15"/>
      <c r="AL89" s="19" t="s">
        <v>615</v>
      </c>
      <c r="AM89" s="17"/>
    </row>
    <row r="90">
      <c r="A90" s="9" t="s">
        <v>616</v>
      </c>
      <c r="B90" s="9" t="s">
        <v>617</v>
      </c>
      <c r="C90" s="10" t="s">
        <v>618</v>
      </c>
      <c r="D90" s="11" t="s">
        <v>41</v>
      </c>
      <c r="E90" s="12">
        <v>45939.0</v>
      </c>
      <c r="F90" s="12">
        <v>46228.0</v>
      </c>
      <c r="G90" s="9"/>
      <c r="H90" s="9"/>
      <c r="I90" s="9" t="s">
        <v>619</v>
      </c>
      <c r="J90" s="11" t="s">
        <v>65</v>
      </c>
      <c r="K90" s="9">
        <v>70.0</v>
      </c>
      <c r="L90" s="9" t="s">
        <v>66</v>
      </c>
      <c r="M90" s="15">
        <v>290.0</v>
      </c>
      <c r="N90" s="15">
        <v>90.0</v>
      </c>
      <c r="O90" s="14"/>
      <c r="P90" s="14"/>
      <c r="Q90" s="15"/>
      <c r="R90" s="12">
        <v>45945.0</v>
      </c>
      <c r="S90" s="15">
        <v>150.0</v>
      </c>
      <c r="T90" s="15">
        <v>380.0</v>
      </c>
      <c r="U90" s="15">
        <v>230.0</v>
      </c>
      <c r="V90" s="16"/>
      <c r="W90" s="17">
        <v>6.5</v>
      </c>
      <c r="X90" s="15">
        <f t="shared" si="7"/>
        <v>91</v>
      </c>
      <c r="Y90" s="17">
        <v>107.0</v>
      </c>
      <c r="Z90" s="17">
        <v>428.0</v>
      </c>
      <c r="AA90" s="15">
        <v>64.2</v>
      </c>
      <c r="AB90" s="16"/>
      <c r="AC90" s="15">
        <f>IF(OR(L90="", AB90=""), 0,
  IF(L90="Découverte", KPI!$F$2,
    IF(L90="Essentiel", KPI!$F$3,
      IF(L90="Premium", KPI!$F$4, 0)
    )
  )
)</f>
        <v>0</v>
      </c>
      <c r="AD90" s="15">
        <f t="array" ref="AD90">IF(F90="", "", 
  (T90 / 1.21) 
  - IF(L90="Découverte", KPI!$C$2, 
      IF(L90="Essentiel", KPI!$C$3, 
        IF(L90="Premium", KPI!$C$4, 0)
      )
    ) 
  - N(X90) 
  - N(AA90) 
  - N(AC90)
  - IFERROR(INDEX(Stats!$G:$G, MATCH(DATE(YEAR(R90), MONTH(R90), 1), Stats!$A:$A, 0)), 35)
)</f>
        <v>93.4065433</v>
      </c>
      <c r="AE90" s="18"/>
      <c r="AF90" s="18"/>
      <c r="AG90" s="15"/>
      <c r="AH90" s="15" t="s">
        <v>620</v>
      </c>
      <c r="AI90" s="15" t="s">
        <v>621</v>
      </c>
      <c r="AJ90" s="15"/>
      <c r="AK90" s="15"/>
      <c r="AL90" s="19" t="s">
        <v>622</v>
      </c>
      <c r="AM90" s="17"/>
    </row>
    <row r="91">
      <c r="A91" s="9" t="s">
        <v>623</v>
      </c>
      <c r="B91" s="9" t="s">
        <v>624</v>
      </c>
      <c r="C91" s="21"/>
      <c r="D91" s="11" t="s">
        <v>41</v>
      </c>
      <c r="E91" s="12">
        <v>45870.0</v>
      </c>
      <c r="F91" s="12">
        <v>46599.0</v>
      </c>
      <c r="G91" s="9"/>
      <c r="H91" s="9"/>
      <c r="I91" s="23" t="s">
        <v>625</v>
      </c>
      <c r="J91" s="11" t="s">
        <v>65</v>
      </c>
      <c r="K91" s="14"/>
      <c r="L91" s="9" t="s">
        <v>50</v>
      </c>
      <c r="M91" s="15">
        <v>350.0</v>
      </c>
      <c r="N91" s="15">
        <v>250.0</v>
      </c>
      <c r="O91" s="14"/>
      <c r="P91" s="9">
        <v>8.0</v>
      </c>
      <c r="Q91" s="15">
        <v>150.0</v>
      </c>
      <c r="R91" s="12">
        <v>45938.0</v>
      </c>
      <c r="S91" s="15">
        <v>150.0</v>
      </c>
      <c r="T91" s="15">
        <v>750.0</v>
      </c>
      <c r="U91" s="15">
        <v>600.0</v>
      </c>
      <c r="V91" s="16"/>
      <c r="W91" s="17">
        <v>11.0</v>
      </c>
      <c r="X91" s="15">
        <f t="shared" si="7"/>
        <v>154</v>
      </c>
      <c r="Y91" s="17">
        <v>215.0</v>
      </c>
      <c r="Z91" s="17">
        <v>860.0</v>
      </c>
      <c r="AA91" s="15">
        <v>129.0</v>
      </c>
      <c r="AB91" s="16"/>
      <c r="AC91" s="15">
        <f>IF(OR(L91="", AB91=""), 0,
  IF(L91="Découverte", KPI!$F$2,
    IF(L91="Essentiel", KPI!$F$3,
      IF(L91="Premium", KPI!$F$4, 0)
    )
  )
)</f>
        <v>0</v>
      </c>
      <c r="AD91" s="15">
        <f t="array" ref="AD91">IF(F91="", "", 
  (T91 / 1.21) 
  - IF(L91="Découverte", KPI!$C$2, 
      IF(L91="Essentiel", KPI!$C$3, 
        IF(L91="Premium", KPI!$C$4, 0)
      )
    ) 
  - N(X91) 
  - N(AA91) 
  - N(AC91)
  - IFERROR(INDEX(Stats!$G:$G, MATCH(DATE(YEAR(R91), MONTH(R91), 1), Stats!$A:$A, 0)), 35)
)</f>
        <v>248.2616673</v>
      </c>
      <c r="AE91" s="18"/>
      <c r="AF91" s="18"/>
      <c r="AG91" s="15"/>
      <c r="AH91" s="15" t="s">
        <v>626</v>
      </c>
      <c r="AI91" s="15" t="s">
        <v>600</v>
      </c>
      <c r="AJ91" s="15"/>
      <c r="AK91" s="15"/>
      <c r="AL91" s="19" t="s">
        <v>627</v>
      </c>
      <c r="AM91" s="17"/>
    </row>
    <row r="92">
      <c r="A92" s="9" t="s">
        <v>628</v>
      </c>
      <c r="B92" s="9" t="s">
        <v>629</v>
      </c>
      <c r="C92" s="10" t="s">
        <v>630</v>
      </c>
      <c r="D92" s="11" t="s">
        <v>41</v>
      </c>
      <c r="E92" s="12">
        <v>45943.0</v>
      </c>
      <c r="F92" s="12">
        <v>46228.0</v>
      </c>
      <c r="G92" s="9"/>
      <c r="H92" s="9"/>
      <c r="I92" s="9" t="s">
        <v>631</v>
      </c>
      <c r="J92" s="11" t="s">
        <v>65</v>
      </c>
      <c r="K92" s="9">
        <v>200.0</v>
      </c>
      <c r="L92" s="9" t="s">
        <v>43</v>
      </c>
      <c r="M92" s="15">
        <v>490.0</v>
      </c>
      <c r="N92" s="15">
        <v>90.0</v>
      </c>
      <c r="O92" s="14"/>
      <c r="P92" s="14"/>
      <c r="Q92" s="15"/>
      <c r="R92" s="12">
        <v>45948.0</v>
      </c>
      <c r="S92" s="15">
        <v>150.0</v>
      </c>
      <c r="T92" s="15">
        <v>580.0</v>
      </c>
      <c r="U92" s="15">
        <v>430.0</v>
      </c>
      <c r="V92" s="16"/>
      <c r="W92" s="17">
        <v>6.0</v>
      </c>
      <c r="X92" s="15">
        <f t="shared" si="7"/>
        <v>84</v>
      </c>
      <c r="Y92" s="17">
        <v>95.0</v>
      </c>
      <c r="Z92" s="17">
        <v>380.0</v>
      </c>
      <c r="AA92" s="15">
        <v>57.0</v>
      </c>
      <c r="AB92" s="16" t="s">
        <v>537</v>
      </c>
      <c r="AC92" s="15">
        <f>IF(OR(L92="", AB92=""), 0,
  IF(L92="Découverte", KPI!$F$2,
    IF(L92="Essentiel", KPI!$F$3,
      IF(L92="Premium", KPI!$F$4, 0)
    )
  )
)</f>
        <v>55</v>
      </c>
      <c r="AD92" s="15">
        <f t="array" ref="AD92">IF(F92="", "", 
  (T92 / 1.21) 
  - IF(L92="Découverte", KPI!$C$2, 
      IF(L92="Essentiel", KPI!$C$3, 
        IF(L92="Premium", KPI!$C$4, 0)
      )
    ) 
  - N(X92) 
  - N(AA92) 
  - N(AC92)
  - IFERROR(INDEX(Stats!$G:$G, MATCH(DATE(YEAR(R92), MONTH(R92), 1), Stats!$A:$A, 0)), 35)
)</f>
        <v>148.5157995</v>
      </c>
      <c r="AE92" s="18"/>
      <c r="AF92" s="18"/>
      <c r="AG92" s="15"/>
      <c r="AH92" s="15" t="s">
        <v>632</v>
      </c>
      <c r="AI92" s="15" t="s">
        <v>569</v>
      </c>
      <c r="AJ92" s="15"/>
      <c r="AK92" s="15"/>
      <c r="AL92" s="19" t="s">
        <v>633</v>
      </c>
      <c r="AM92" s="17"/>
    </row>
    <row r="93">
      <c r="A93" s="9" t="s">
        <v>634</v>
      </c>
      <c r="B93" s="9" t="s">
        <v>635</v>
      </c>
      <c r="C93" s="10" t="s">
        <v>636</v>
      </c>
      <c r="D93" s="11" t="s">
        <v>41</v>
      </c>
      <c r="E93" s="12">
        <v>45945.0</v>
      </c>
      <c r="F93" s="12">
        <v>46235.0</v>
      </c>
      <c r="G93" s="9"/>
      <c r="H93" s="9"/>
      <c r="I93" s="9" t="s">
        <v>637</v>
      </c>
      <c r="J93" s="11" t="s">
        <v>65</v>
      </c>
      <c r="K93" s="9">
        <v>35.0</v>
      </c>
      <c r="L93" s="9" t="s">
        <v>66</v>
      </c>
      <c r="M93" s="15">
        <v>290.0</v>
      </c>
      <c r="N93" s="15">
        <v>90.0</v>
      </c>
      <c r="O93" s="14"/>
      <c r="P93" s="14"/>
      <c r="Q93" s="15"/>
      <c r="R93" s="12">
        <v>45951.0</v>
      </c>
      <c r="S93" s="15">
        <v>150.0</v>
      </c>
      <c r="T93" s="15">
        <v>380.0</v>
      </c>
      <c r="U93" s="15">
        <v>230.0</v>
      </c>
      <c r="V93" s="16"/>
      <c r="W93" s="17">
        <v>4.5</v>
      </c>
      <c r="X93" s="15">
        <f t="shared" si="7"/>
        <v>63</v>
      </c>
      <c r="Y93" s="17">
        <v>64.0</v>
      </c>
      <c r="Z93" s="17">
        <v>256.0</v>
      </c>
      <c r="AA93" s="15">
        <v>38.4</v>
      </c>
      <c r="AB93" s="16" t="s">
        <v>537</v>
      </c>
      <c r="AC93" s="15">
        <f>IF(OR(L93="", AB93=""), 0,
  IF(L93="Découverte", KPI!$F$2,
    IF(L93="Essentiel", KPI!$F$3,
      IF(L93="Premium", KPI!$F$4, 0)
    )
  )
)</f>
        <v>35</v>
      </c>
      <c r="AD93" s="15">
        <f t="array" ref="AD93">IF(F93="", "", 
  (T93 / 1.21) 
  - IF(L93="Découverte", KPI!$C$2, 
      IF(L93="Essentiel", KPI!$C$3, 
        IF(L93="Premium", KPI!$C$4, 0)
      )
    ) 
  - N(X93) 
  - N(AA93) 
  - N(AC93)
  - IFERROR(INDEX(Stats!$G:$G, MATCH(DATE(YEAR(R93), MONTH(R93), 1), Stats!$A:$A, 0)), 35)
)</f>
        <v>112.2065433</v>
      </c>
      <c r="AE93" s="18"/>
      <c r="AF93" s="18"/>
      <c r="AG93" s="15"/>
      <c r="AH93" s="15" t="s">
        <v>638</v>
      </c>
      <c r="AI93" s="15" t="s">
        <v>576</v>
      </c>
      <c r="AJ93" s="15"/>
      <c r="AK93" s="15"/>
      <c r="AL93" s="19" t="s">
        <v>639</v>
      </c>
      <c r="AM93" s="17"/>
    </row>
    <row r="94">
      <c r="A94" s="9" t="s">
        <v>640</v>
      </c>
      <c r="B94" s="9" t="s">
        <v>641</v>
      </c>
      <c r="C94" s="10" t="s">
        <v>642</v>
      </c>
      <c r="D94" s="11" t="s">
        <v>41</v>
      </c>
      <c r="E94" s="12">
        <v>45951.0</v>
      </c>
      <c r="F94" s="12">
        <v>45997.0</v>
      </c>
      <c r="G94" s="9"/>
      <c r="H94" s="9"/>
      <c r="I94" s="9" t="s">
        <v>643</v>
      </c>
      <c r="J94" s="11" t="s">
        <v>423</v>
      </c>
      <c r="K94" s="9">
        <v>100.0</v>
      </c>
      <c r="L94" s="9" t="s">
        <v>50</v>
      </c>
      <c r="M94" s="15">
        <v>390.0</v>
      </c>
      <c r="N94" s="15">
        <v>90.0</v>
      </c>
      <c r="O94" s="14"/>
      <c r="P94" s="14"/>
      <c r="Q94" s="15"/>
      <c r="R94" s="12">
        <v>45953.0</v>
      </c>
      <c r="S94" s="15">
        <v>150.0</v>
      </c>
      <c r="T94" s="15">
        <v>480.0</v>
      </c>
      <c r="U94" s="15">
        <v>330.0</v>
      </c>
      <c r="V94" s="16" t="s">
        <v>380</v>
      </c>
      <c r="W94" s="17">
        <v>4.5</v>
      </c>
      <c r="X94" s="15">
        <f t="shared" si="7"/>
        <v>63</v>
      </c>
      <c r="Y94" s="17">
        <v>61.0</v>
      </c>
      <c r="Z94" s="17">
        <v>244.0</v>
      </c>
      <c r="AA94" s="15">
        <v>36.6</v>
      </c>
      <c r="AB94" s="16"/>
      <c r="AC94" s="15">
        <f>IF(OR(L94="", AB94=""), 0,
  IF(L94="Découverte", KPI!$F$2,
    IF(L94="Essentiel", KPI!$F$3,
      IF(L94="Premium", KPI!$F$4, 0)
    )
  )
)</f>
        <v>0</v>
      </c>
      <c r="AD94" s="15">
        <f t="array" ref="AD94">IF(F94="", "", 
  (T94 / 1.21) 
  - IF(L94="Découverte", KPI!$C$2, 
      IF(L94="Essentiel", KPI!$C$3, 
        IF(L94="Premium", KPI!$C$4, 0)
      )
    ) 
  - N(X94) 
  - N(AA94) 
  - N(AC94)
  - IFERROR(INDEX(Stats!$G:$G, MATCH(DATE(YEAR(R94), MONTH(R94), 1), Stats!$A:$A, 0)), 35)
)</f>
        <v>208.5211714</v>
      </c>
      <c r="AE94" s="18"/>
      <c r="AF94" s="24" t="s">
        <v>644</v>
      </c>
      <c r="AG94" s="15"/>
      <c r="AH94" s="15" t="s">
        <v>645</v>
      </c>
      <c r="AI94" s="15" t="s">
        <v>646</v>
      </c>
      <c r="AJ94" s="15" t="s">
        <v>547</v>
      </c>
      <c r="AK94" s="15"/>
      <c r="AL94" s="19" t="s">
        <v>647</v>
      </c>
      <c r="AM94" s="17" t="s">
        <v>648</v>
      </c>
    </row>
    <row r="95">
      <c r="A95" s="9" t="s">
        <v>649</v>
      </c>
      <c r="B95" s="9" t="s">
        <v>650</v>
      </c>
      <c r="C95" s="10" t="s">
        <v>651</v>
      </c>
      <c r="D95" s="11" t="s">
        <v>41</v>
      </c>
      <c r="E95" s="12">
        <v>45947.0</v>
      </c>
      <c r="F95" s="12">
        <v>46312.0</v>
      </c>
      <c r="G95" s="9"/>
      <c r="H95" s="9"/>
      <c r="I95" s="9" t="s">
        <v>652</v>
      </c>
      <c r="J95" s="11" t="s">
        <v>65</v>
      </c>
      <c r="K95" s="9">
        <v>100.0</v>
      </c>
      <c r="L95" s="9" t="s">
        <v>50</v>
      </c>
      <c r="M95" s="15">
        <v>390.0</v>
      </c>
      <c r="N95" s="15">
        <v>90.0</v>
      </c>
      <c r="O95" s="14"/>
      <c r="P95" s="14"/>
      <c r="Q95" s="15"/>
      <c r="R95" s="12">
        <v>45955.0</v>
      </c>
      <c r="S95" s="15">
        <v>150.0</v>
      </c>
      <c r="T95" s="15">
        <v>480.0</v>
      </c>
      <c r="U95" s="15">
        <v>330.0</v>
      </c>
      <c r="V95" s="16"/>
      <c r="W95" s="17">
        <v>5.5</v>
      </c>
      <c r="X95" s="15">
        <f t="shared" si="7"/>
        <v>77</v>
      </c>
      <c r="Y95" s="17">
        <v>88.0</v>
      </c>
      <c r="Z95" s="17">
        <v>352.0</v>
      </c>
      <c r="AA95" s="15">
        <v>52.8</v>
      </c>
      <c r="AB95" s="16"/>
      <c r="AC95" s="15">
        <f>IF(OR(L95="", AB95=""), 0,
  IF(L95="Découverte", KPI!$F$2,
    IF(L95="Essentiel", KPI!$F$3,
      IF(L95="Premium", KPI!$F$4, 0)
    )
  )
)</f>
        <v>0</v>
      </c>
      <c r="AD95" s="15">
        <f t="array" ref="AD95">IF(F95="", "", 
  (T95 / 1.21) 
  - IF(L95="Découverte", KPI!$C$2, 
      IF(L95="Essentiel", KPI!$C$3, 
        IF(L95="Premium", KPI!$C$4, 0)
      )
    ) 
  - N(X95) 
  - N(AA95) 
  - N(AC95)
  - IFERROR(INDEX(Stats!$G:$G, MATCH(DATE(YEAR(R95), MONTH(R95), 1), Stats!$A:$A, 0)), 35)
)</f>
        <v>178.3211714</v>
      </c>
      <c r="AE95" s="18"/>
      <c r="AF95" s="18"/>
      <c r="AG95" s="15"/>
      <c r="AH95" s="15" t="s">
        <v>653</v>
      </c>
      <c r="AI95" s="15" t="s">
        <v>654</v>
      </c>
      <c r="AJ95" s="15"/>
      <c r="AK95" s="15"/>
      <c r="AL95" s="19" t="s">
        <v>655</v>
      </c>
      <c r="AM95" s="17"/>
    </row>
    <row r="96">
      <c r="A96" s="9" t="s">
        <v>656</v>
      </c>
      <c r="B96" s="9" t="s">
        <v>657</v>
      </c>
      <c r="C96" s="10" t="s">
        <v>658</v>
      </c>
      <c r="D96" s="11" t="s">
        <v>41</v>
      </c>
      <c r="E96" s="12">
        <v>45957.0</v>
      </c>
      <c r="F96" s="12">
        <v>46221.0</v>
      </c>
      <c r="G96" s="9"/>
      <c r="H96" s="9"/>
      <c r="I96" s="9" t="s">
        <v>659</v>
      </c>
      <c r="J96" s="11" t="s">
        <v>65</v>
      </c>
      <c r="K96" s="9">
        <v>150.0</v>
      </c>
      <c r="L96" s="9" t="s">
        <v>43</v>
      </c>
      <c r="M96" s="15">
        <v>490.0</v>
      </c>
      <c r="N96" s="15">
        <v>110.0</v>
      </c>
      <c r="O96" s="14"/>
      <c r="P96" s="14"/>
      <c r="Q96" s="15"/>
      <c r="R96" s="12">
        <v>45957.0</v>
      </c>
      <c r="S96" s="15">
        <v>150.0</v>
      </c>
      <c r="T96" s="15">
        <v>600.0</v>
      </c>
      <c r="U96" s="15">
        <v>450.0</v>
      </c>
      <c r="V96" s="16" t="s">
        <v>380</v>
      </c>
      <c r="W96" s="17">
        <v>7.0</v>
      </c>
      <c r="X96" s="15">
        <f t="shared" si="7"/>
        <v>98</v>
      </c>
      <c r="Y96" s="17">
        <v>124.0</v>
      </c>
      <c r="Z96" s="17">
        <v>496.0</v>
      </c>
      <c r="AA96" s="15">
        <v>74.4</v>
      </c>
      <c r="AB96" s="16"/>
      <c r="AC96" s="15">
        <f>IF(OR(L96="", AB96=""), 0,
  IF(L96="Découverte", KPI!$F$2,
    IF(L96="Essentiel", KPI!$F$3,
      IF(L96="Premium", KPI!$F$4, 0)
    )
  )
)</f>
        <v>0</v>
      </c>
      <c r="AD96" s="15">
        <f t="array" ref="AD96">IF(F96="", "", 
  (T96 / 1.21) 
  - IF(L96="Découverte", KPI!$C$2, 
      IF(L96="Essentiel", KPI!$C$3, 
        IF(L96="Premium", KPI!$C$4, 0)
      )
    ) 
  - N(X96) 
  - N(AA96) 
  - N(AC96)
  - IFERROR(INDEX(Stats!$G:$G, MATCH(DATE(YEAR(R96), MONTH(R96), 1), Stats!$A:$A, 0)), 35)
)</f>
        <v>188.6447251</v>
      </c>
      <c r="AE96" s="18"/>
      <c r="AF96" s="18"/>
      <c r="AG96" s="15"/>
      <c r="AH96" s="15" t="s">
        <v>660</v>
      </c>
      <c r="AI96" s="15" t="s">
        <v>504</v>
      </c>
      <c r="AJ96" s="15"/>
      <c r="AK96" s="15"/>
      <c r="AL96" s="19" t="s">
        <v>661</v>
      </c>
      <c r="AM96" s="17"/>
    </row>
    <row r="97">
      <c r="A97" s="9" t="s">
        <v>662</v>
      </c>
      <c r="B97" s="9" t="s">
        <v>663</v>
      </c>
      <c r="C97" s="10" t="s">
        <v>664</v>
      </c>
      <c r="D97" s="11" t="s">
        <v>41</v>
      </c>
      <c r="E97" s="12">
        <v>45954.0</v>
      </c>
      <c r="F97" s="12">
        <v>45969.0</v>
      </c>
      <c r="G97" s="9"/>
      <c r="H97" s="9"/>
      <c r="I97" s="9" t="s">
        <v>665</v>
      </c>
      <c r="J97" s="11" t="s">
        <v>65</v>
      </c>
      <c r="K97" s="9">
        <v>69.0</v>
      </c>
      <c r="L97" s="9" t="s">
        <v>50</v>
      </c>
      <c r="M97" s="15">
        <v>390.0</v>
      </c>
      <c r="N97" s="15">
        <v>90.0</v>
      </c>
      <c r="O97" s="14"/>
      <c r="P97" s="14"/>
      <c r="Q97" s="15"/>
      <c r="R97" s="12">
        <v>45956.0</v>
      </c>
      <c r="S97" s="15">
        <v>150.0</v>
      </c>
      <c r="T97" s="15">
        <v>480.0</v>
      </c>
      <c r="U97" s="15">
        <v>330.0</v>
      </c>
      <c r="V97" s="16" t="s">
        <v>380</v>
      </c>
      <c r="W97" s="17">
        <v>5.5</v>
      </c>
      <c r="X97" s="15">
        <f t="shared" si="7"/>
        <v>77</v>
      </c>
      <c r="Y97" s="17">
        <v>91.0</v>
      </c>
      <c r="Z97" s="17">
        <v>364.0</v>
      </c>
      <c r="AA97" s="15">
        <v>54.6</v>
      </c>
      <c r="AB97" s="16"/>
      <c r="AC97" s="15">
        <f>IF(OR(L97="", AB97=""), 0,
  IF(L97="Découverte", KPI!$F$2,
    IF(L97="Essentiel", KPI!$F$3,
      IF(L97="Premium", KPI!$F$4, 0)
    )
  )
)</f>
        <v>0</v>
      </c>
      <c r="AD97" s="15">
        <f t="array" ref="AD97">IF(F97="", "", 
  (T97 / 1.21) 
  - IF(L97="Découverte", KPI!$C$2, 
      IF(L97="Essentiel", KPI!$C$3, 
        IF(L97="Premium", KPI!$C$4, 0)
      )
    ) 
  - N(X97) 
  - N(AA97) 
  - N(AC97)
  - IFERROR(INDEX(Stats!$G:$G, MATCH(DATE(YEAR(R97), MONTH(R97), 1), Stats!$A:$A, 0)), 35)
)</f>
        <v>176.5211714</v>
      </c>
      <c r="AE97" s="18"/>
      <c r="AF97" s="18"/>
      <c r="AG97" s="15"/>
      <c r="AH97" s="15" t="s">
        <v>666</v>
      </c>
      <c r="AI97" s="15" t="s">
        <v>576</v>
      </c>
      <c r="AJ97" s="15"/>
      <c r="AK97" s="15"/>
      <c r="AL97" s="19" t="s">
        <v>667</v>
      </c>
      <c r="AM97" s="17" t="s">
        <v>668</v>
      </c>
    </row>
    <row r="98">
      <c r="A98" s="9" t="s">
        <v>669</v>
      </c>
      <c r="B98" s="9" t="s">
        <v>670</v>
      </c>
      <c r="C98" s="10" t="s">
        <v>671</v>
      </c>
      <c r="D98" s="11" t="s">
        <v>41</v>
      </c>
      <c r="E98" s="12">
        <v>45947.0</v>
      </c>
      <c r="F98" s="12">
        <v>46144.0</v>
      </c>
      <c r="G98" s="9"/>
      <c r="H98" s="9"/>
      <c r="I98" s="9" t="s">
        <v>672</v>
      </c>
      <c r="J98" s="11" t="s">
        <v>65</v>
      </c>
      <c r="K98" s="9">
        <v>50.0</v>
      </c>
      <c r="L98" s="9" t="s">
        <v>66</v>
      </c>
      <c r="M98" s="15">
        <v>290.0</v>
      </c>
      <c r="N98" s="15">
        <v>90.0</v>
      </c>
      <c r="O98" s="14"/>
      <c r="P98" s="14"/>
      <c r="Q98" s="15"/>
      <c r="R98" s="12">
        <v>45954.0</v>
      </c>
      <c r="S98" s="15">
        <v>150.0</v>
      </c>
      <c r="T98" s="15">
        <v>380.0</v>
      </c>
      <c r="U98" s="15">
        <v>230.0</v>
      </c>
      <c r="V98" s="16"/>
      <c r="W98" s="17">
        <v>6.5</v>
      </c>
      <c r="X98" s="15">
        <f t="shared" si="7"/>
        <v>91</v>
      </c>
      <c r="Y98" s="17">
        <v>106.0</v>
      </c>
      <c r="Z98" s="17">
        <v>424.0</v>
      </c>
      <c r="AA98" s="15">
        <v>63.6</v>
      </c>
      <c r="AB98" s="16" t="s">
        <v>537</v>
      </c>
      <c r="AC98" s="15">
        <f>IF(OR(L98="", AB98=""), 0,
  IF(L98="Découverte", KPI!$F$2,
    IF(L98="Essentiel", KPI!$F$3,
      IF(L98="Premium", KPI!$F$4, 0)
    )
  )
)</f>
        <v>35</v>
      </c>
      <c r="AD98" s="15">
        <f t="array" ref="AD98">IF(F98="", "", 
  (T98 / 1.21) 
  - IF(L98="Découverte", KPI!$C$2, 
      IF(L98="Essentiel", KPI!$C$3, 
        IF(L98="Premium", KPI!$C$4, 0)
      )
    ) 
  - N(X98) 
  - N(AA98) 
  - N(AC98)
  - IFERROR(INDEX(Stats!$G:$G, MATCH(DATE(YEAR(R98), MONTH(R98), 1), Stats!$A:$A, 0)), 35)
)</f>
        <v>59.0065433</v>
      </c>
      <c r="AE98" s="18"/>
      <c r="AF98" s="18"/>
      <c r="AG98" s="15"/>
      <c r="AH98" s="15" t="s">
        <v>673</v>
      </c>
      <c r="AI98" s="15" t="s">
        <v>576</v>
      </c>
      <c r="AJ98" s="15"/>
      <c r="AK98" s="15"/>
      <c r="AL98" s="19" t="s">
        <v>674</v>
      </c>
      <c r="AM98" s="17"/>
    </row>
    <row r="99">
      <c r="A99" s="9" t="s">
        <v>675</v>
      </c>
      <c r="B99" s="9" t="s">
        <v>676</v>
      </c>
      <c r="C99" s="10" t="s">
        <v>677</v>
      </c>
      <c r="D99" s="11" t="s">
        <v>41</v>
      </c>
      <c r="E99" s="12">
        <v>45962.0</v>
      </c>
      <c r="F99" s="12">
        <v>46117.0</v>
      </c>
      <c r="G99" s="9"/>
      <c r="H99" s="9"/>
      <c r="I99" s="9" t="s">
        <v>678</v>
      </c>
      <c r="J99" s="11" t="s">
        <v>65</v>
      </c>
      <c r="K99" s="9">
        <v>200.0</v>
      </c>
      <c r="L99" s="9" t="s">
        <v>43</v>
      </c>
      <c r="M99" s="15">
        <v>490.0</v>
      </c>
      <c r="N99" s="15">
        <v>90.0</v>
      </c>
      <c r="O99" s="14"/>
      <c r="P99" s="14"/>
      <c r="Q99" s="15"/>
      <c r="R99" s="12">
        <v>45962.0</v>
      </c>
      <c r="S99" s="15">
        <v>150.0</v>
      </c>
      <c r="T99" s="15">
        <v>580.0</v>
      </c>
      <c r="U99" s="15">
        <v>430.0</v>
      </c>
      <c r="V99" s="16"/>
      <c r="W99" s="17">
        <v>5.0</v>
      </c>
      <c r="X99" s="15">
        <f t="shared" si="7"/>
        <v>70</v>
      </c>
      <c r="Y99" s="17">
        <v>51.0</v>
      </c>
      <c r="Z99" s="17">
        <v>204.0</v>
      </c>
      <c r="AA99" s="15">
        <v>30.6</v>
      </c>
      <c r="AB99" s="16"/>
      <c r="AC99" s="15">
        <f>IF(OR(L99="", AB99=""), 0,
  IF(L99="Découverte", KPI!$F$2,
    IF(L99="Essentiel", KPI!$F$3,
      IF(L99="Premium", KPI!$F$4, 0)
    )
  )
)</f>
        <v>0</v>
      </c>
      <c r="AD99" s="15">
        <f t="array" ref="AD99">IF(F99="", "", 
  (T99 / 1.21) 
  - IF(L99="Découverte", KPI!$C$2, 
      IF(L99="Essentiel", KPI!$C$3, 
        IF(L99="Premium", KPI!$C$4, 0)
      )
    ) 
  - N(X99) 
  - N(AA99) 
  - N(AC99)
  - IFERROR(INDEX(Stats!$G:$G, MATCH(DATE(YEAR(R99), MONTH(R99), 1), Stats!$A:$A, 0)), 35)
)</f>
        <v>232.5814746</v>
      </c>
      <c r="AE99" s="18"/>
      <c r="AF99" s="18"/>
      <c r="AG99" s="15"/>
      <c r="AH99" s="15" t="s">
        <v>679</v>
      </c>
      <c r="AI99" s="15" t="s">
        <v>680</v>
      </c>
      <c r="AJ99" s="15"/>
      <c r="AK99" s="15"/>
      <c r="AL99" s="19" t="s">
        <v>681</v>
      </c>
      <c r="AM99" s="17"/>
    </row>
    <row r="100">
      <c r="A100" s="9" t="s">
        <v>682</v>
      </c>
      <c r="B100" s="9" t="s">
        <v>683</v>
      </c>
      <c r="C100" s="10" t="s">
        <v>684</v>
      </c>
      <c r="D100" s="11" t="s">
        <v>41</v>
      </c>
      <c r="E100" s="12">
        <v>45960.0</v>
      </c>
      <c r="F100" s="12">
        <v>46235.0</v>
      </c>
      <c r="G100" s="9"/>
      <c r="H100" s="9"/>
      <c r="I100" s="9" t="s">
        <v>685</v>
      </c>
      <c r="J100" s="11" t="s">
        <v>65</v>
      </c>
      <c r="K100" s="9">
        <v>100.0</v>
      </c>
      <c r="L100" s="9" t="s">
        <v>50</v>
      </c>
      <c r="M100" s="15">
        <v>390.0</v>
      </c>
      <c r="N100" s="15">
        <v>100.0</v>
      </c>
      <c r="O100" s="14"/>
      <c r="P100" s="14"/>
      <c r="Q100" s="15"/>
      <c r="R100" s="12">
        <v>45960.0</v>
      </c>
      <c r="S100" s="15">
        <v>150.0</v>
      </c>
      <c r="T100" s="15">
        <v>490.0</v>
      </c>
      <c r="U100" s="15">
        <v>340.0</v>
      </c>
      <c r="V100" s="16"/>
      <c r="W100" s="17">
        <v>8.0</v>
      </c>
      <c r="X100" s="15">
        <f t="shared" si="7"/>
        <v>112</v>
      </c>
      <c r="Y100" s="17">
        <v>141.0</v>
      </c>
      <c r="Z100" s="17">
        <v>564.0</v>
      </c>
      <c r="AA100" s="15">
        <v>84.6</v>
      </c>
      <c r="AB100" s="16"/>
      <c r="AC100" s="15">
        <f>IF(OR(L100="", AB100=""), 0,
  IF(L100="Découverte", KPI!$F$2,
    IF(L100="Essentiel", KPI!$F$3,
      IF(L100="Premium", KPI!$F$4, 0)
    )
  )
)</f>
        <v>0</v>
      </c>
      <c r="AD100" s="15">
        <f t="array" ref="AD100">IF(F100="", "", 
  (T100 / 1.21) 
  - IF(L100="Découverte", KPI!$C$2, 
      IF(L100="Essentiel", KPI!$C$3, 
        IF(L100="Premium", KPI!$C$4, 0)
      )
    ) 
  - N(X100) 
  - N(AA100) 
  - N(AC100)
  - IFERROR(INDEX(Stats!$G:$G, MATCH(DATE(YEAR(R100), MONTH(R100), 1), Stats!$A:$A, 0)), 35)
)</f>
        <v>119.7856342</v>
      </c>
      <c r="AE100" s="18"/>
      <c r="AF100" s="18"/>
      <c r="AG100" s="15"/>
      <c r="AH100" s="15" t="s">
        <v>686</v>
      </c>
      <c r="AI100" s="15" t="s">
        <v>621</v>
      </c>
      <c r="AJ100" s="15"/>
      <c r="AK100" s="15"/>
      <c r="AL100" s="19" t="s">
        <v>687</v>
      </c>
      <c r="AM100" s="17"/>
    </row>
    <row r="101">
      <c r="A101" s="9" t="s">
        <v>688</v>
      </c>
      <c r="B101" s="9" t="s">
        <v>689</v>
      </c>
      <c r="C101" s="10" t="s">
        <v>690</v>
      </c>
      <c r="D101" s="11" t="s">
        <v>41</v>
      </c>
      <c r="E101" s="12">
        <v>45963.0</v>
      </c>
      <c r="F101" s="12">
        <v>46200.0</v>
      </c>
      <c r="G101" s="9"/>
      <c r="H101" s="9"/>
      <c r="I101" s="9" t="s">
        <v>691</v>
      </c>
      <c r="J101" s="11" t="s">
        <v>65</v>
      </c>
      <c r="K101" s="9">
        <v>110.0</v>
      </c>
      <c r="L101" s="9" t="s">
        <v>50</v>
      </c>
      <c r="M101" s="15">
        <v>390.0</v>
      </c>
      <c r="N101" s="15">
        <v>110.0</v>
      </c>
      <c r="O101" s="14"/>
      <c r="P101" s="14"/>
      <c r="Q101" s="15"/>
      <c r="R101" s="12">
        <v>45963.0</v>
      </c>
      <c r="S101" s="15">
        <v>150.0</v>
      </c>
      <c r="T101" s="15">
        <v>500.0</v>
      </c>
      <c r="U101" s="15">
        <v>350.0</v>
      </c>
      <c r="V101" s="16"/>
      <c r="W101" s="17">
        <v>7.0</v>
      </c>
      <c r="X101" s="15">
        <f t="shared" si="7"/>
        <v>98</v>
      </c>
      <c r="Y101" s="17">
        <v>129.0</v>
      </c>
      <c r="Z101" s="17">
        <v>516.0</v>
      </c>
      <c r="AA101" s="15">
        <v>77.4</v>
      </c>
      <c r="AB101" s="16"/>
      <c r="AC101" s="15">
        <f>IF(OR(L101="", AB101=""), 0,
  IF(L101="Découverte", KPI!$F$2,
    IF(L101="Essentiel", KPI!$F$3,
      IF(L101="Premium", KPI!$F$4, 0)
    )
  )
)</f>
        <v>0</v>
      </c>
      <c r="AD101" s="15">
        <f t="array" ref="AD101">IF(F101="", "", 
  (T101 / 1.21) 
  - IF(L101="Découverte", KPI!$C$2, 
      IF(L101="Essentiel", KPI!$C$3, 
        IF(L101="Premium", KPI!$C$4, 0)
      )
    ) 
  - N(X101) 
  - N(AA101) 
  - N(AC101)
  - IFERROR(INDEX(Stats!$G:$G, MATCH(DATE(YEAR(R101), MONTH(R101), 1), Stats!$A:$A, 0)), 35)
)</f>
        <v>137.9157721</v>
      </c>
      <c r="AE101" s="18"/>
      <c r="AF101" s="18"/>
      <c r="AG101" s="15"/>
      <c r="AH101" s="15" t="s">
        <v>692</v>
      </c>
      <c r="AI101" s="15" t="s">
        <v>576</v>
      </c>
      <c r="AJ101" s="15"/>
      <c r="AK101" s="15"/>
      <c r="AL101" s="19" t="s">
        <v>693</v>
      </c>
      <c r="AM101" s="17"/>
    </row>
    <row r="102">
      <c r="A102" s="9" t="s">
        <v>694</v>
      </c>
      <c r="B102" s="9" t="s">
        <v>695</v>
      </c>
      <c r="C102" s="10" t="s">
        <v>696</v>
      </c>
      <c r="D102" s="11" t="s">
        <v>41</v>
      </c>
      <c r="E102" s="12">
        <v>45953.0</v>
      </c>
      <c r="F102" s="12">
        <v>46179.0</v>
      </c>
      <c r="G102" s="9"/>
      <c r="H102" s="9"/>
      <c r="I102" s="9" t="s">
        <v>697</v>
      </c>
      <c r="J102" s="11" t="s">
        <v>65</v>
      </c>
      <c r="K102" s="9">
        <v>100.0</v>
      </c>
      <c r="L102" s="9" t="s">
        <v>50</v>
      </c>
      <c r="M102" s="15">
        <v>390.0</v>
      </c>
      <c r="N102" s="15">
        <v>90.0</v>
      </c>
      <c r="O102" s="14"/>
      <c r="P102" s="14"/>
      <c r="Q102" s="15"/>
      <c r="R102" s="12">
        <v>45964.0</v>
      </c>
      <c r="S102" s="15">
        <v>150.0</v>
      </c>
      <c r="T102" s="15">
        <v>480.0</v>
      </c>
      <c r="U102" s="15">
        <v>330.0</v>
      </c>
      <c r="V102" s="16"/>
      <c r="W102" s="17">
        <v>4.0</v>
      </c>
      <c r="X102" s="15">
        <f t="shared" si="7"/>
        <v>56</v>
      </c>
      <c r="Y102" s="17">
        <v>52.0</v>
      </c>
      <c r="Z102" s="17">
        <v>208.0</v>
      </c>
      <c r="AA102" s="15">
        <v>31.2</v>
      </c>
      <c r="AB102" s="16"/>
      <c r="AC102" s="15">
        <f>IF(OR(L102="", AB102=""), 0,
  IF(L102="Découverte", KPI!$F$2,
    IF(L102="Essentiel", KPI!$F$3,
      IF(L102="Premium", KPI!$F$4, 0)
    )
  )
)</f>
        <v>0</v>
      </c>
      <c r="AD102" s="15">
        <f t="array" ref="AD102">IF(F102="", "", 
  (T102 / 1.21) 
  - IF(L102="Découverte", KPI!$C$2, 
      IF(L102="Essentiel", KPI!$C$3, 
        IF(L102="Premium", KPI!$C$4, 0)
      )
    ) 
  - N(X102) 
  - N(AA102) 
  - N(AC102)
  - IFERROR(INDEX(Stats!$G:$G, MATCH(DATE(YEAR(R102), MONTH(R102), 1), Stats!$A:$A, 0)), 35)
)</f>
        <v>209.5868465</v>
      </c>
      <c r="AE102" s="18"/>
      <c r="AF102" s="18"/>
      <c r="AG102" s="15"/>
      <c r="AH102" s="15" t="s">
        <v>698</v>
      </c>
      <c r="AI102" s="15" t="s">
        <v>699</v>
      </c>
      <c r="AJ102" s="15"/>
      <c r="AK102" s="15"/>
      <c r="AL102" s="19" t="s">
        <v>700</v>
      </c>
      <c r="AM102" s="17"/>
    </row>
    <row r="103">
      <c r="A103" s="9" t="s">
        <v>701</v>
      </c>
      <c r="B103" s="9" t="s">
        <v>702</v>
      </c>
      <c r="C103" s="10" t="s">
        <v>703</v>
      </c>
      <c r="D103" s="11" t="s">
        <v>41</v>
      </c>
      <c r="E103" s="12">
        <v>45964.0</v>
      </c>
      <c r="F103" s="12">
        <v>46109.0</v>
      </c>
      <c r="G103" s="13"/>
      <c r="H103" s="13"/>
      <c r="I103" s="9" t="s">
        <v>704</v>
      </c>
      <c r="J103" s="11" t="s">
        <v>65</v>
      </c>
      <c r="K103" s="9">
        <v>70.0</v>
      </c>
      <c r="L103" s="9" t="s">
        <v>50</v>
      </c>
      <c r="M103" s="15">
        <v>390.0</v>
      </c>
      <c r="N103" s="15">
        <v>90.0</v>
      </c>
      <c r="O103" s="14"/>
      <c r="P103" s="14"/>
      <c r="Q103" s="15"/>
      <c r="R103" s="12">
        <v>45966.0</v>
      </c>
      <c r="S103" s="15">
        <v>150.0</v>
      </c>
      <c r="T103" s="15">
        <v>480.0</v>
      </c>
      <c r="U103" s="15">
        <v>330.0</v>
      </c>
      <c r="V103" s="16"/>
      <c r="W103" s="17">
        <v>6.5</v>
      </c>
      <c r="X103" s="15">
        <f t="shared" si="7"/>
        <v>91</v>
      </c>
      <c r="Y103" s="17">
        <v>118.0</v>
      </c>
      <c r="Z103" s="17">
        <v>472.0</v>
      </c>
      <c r="AA103" s="15">
        <v>70.8</v>
      </c>
      <c r="AB103" s="16"/>
      <c r="AC103" s="15">
        <f>IF(OR(L103="", AB103=""), 0,
  IF(L103="Découverte", KPI!$F$2,
    IF(L103="Essentiel", KPI!$F$3,
      IF(L103="Premium", KPI!$F$4, 0)
    )
  )
)</f>
        <v>0</v>
      </c>
      <c r="AD103" s="15">
        <f t="array" ref="AD103">IF(F103="", "", 
  (T103 / 1.21) 
  - IF(L103="Découverte", KPI!$C$2, 
      IF(L103="Essentiel", KPI!$C$3, 
        IF(L103="Premium", KPI!$C$4, 0)
      )
    ) 
  - N(X103) 
  - N(AA103) 
  - N(AC103)
  - IFERROR(INDEX(Stats!$G:$G, MATCH(DATE(YEAR(R103), MONTH(R103), 1), Stats!$A:$A, 0)), 35)
)</f>
        <v>134.9868465</v>
      </c>
      <c r="AE103" s="18"/>
      <c r="AF103" s="18"/>
      <c r="AG103" s="15"/>
      <c r="AH103" s="15" t="s">
        <v>705</v>
      </c>
      <c r="AI103" s="15" t="s">
        <v>680</v>
      </c>
      <c r="AJ103" s="15"/>
      <c r="AK103" s="15"/>
      <c r="AL103" s="19" t="s">
        <v>706</v>
      </c>
      <c r="AM103" s="17"/>
    </row>
    <row r="104">
      <c r="A104" s="9" t="s">
        <v>707</v>
      </c>
      <c r="B104" s="9" t="s">
        <v>708</v>
      </c>
      <c r="C104" s="10" t="s">
        <v>709</v>
      </c>
      <c r="D104" s="11" t="s">
        <v>41</v>
      </c>
      <c r="E104" s="12">
        <v>45956.0</v>
      </c>
      <c r="F104" s="12">
        <v>46214.0</v>
      </c>
      <c r="G104" s="13"/>
      <c r="H104" s="13"/>
      <c r="I104" s="9" t="s">
        <v>710</v>
      </c>
      <c r="J104" s="11" t="s">
        <v>65</v>
      </c>
      <c r="K104" s="9"/>
      <c r="L104" s="9" t="s">
        <v>50</v>
      </c>
      <c r="M104" s="15">
        <v>390.0</v>
      </c>
      <c r="N104" s="15">
        <v>90.0</v>
      </c>
      <c r="O104" s="14"/>
      <c r="P104" s="14"/>
      <c r="Q104" s="15"/>
      <c r="R104" s="12">
        <v>45966.0</v>
      </c>
      <c r="S104" s="15">
        <v>150.0</v>
      </c>
      <c r="T104" s="15">
        <v>480.0</v>
      </c>
      <c r="U104" s="15">
        <v>330.0</v>
      </c>
      <c r="V104" s="16"/>
      <c r="W104" s="17">
        <v>4.0</v>
      </c>
      <c r="X104" s="15">
        <f t="shared" si="7"/>
        <v>56</v>
      </c>
      <c r="Y104" s="17">
        <v>59.0</v>
      </c>
      <c r="Z104" s="17">
        <v>236.0</v>
      </c>
      <c r="AA104" s="15">
        <v>35.4</v>
      </c>
      <c r="AB104" s="16" t="s">
        <v>711</v>
      </c>
      <c r="AC104" s="15">
        <f>IF(OR(L104="", AB104=""), 0,
  IF(L104="Découverte", KPI!$F$2,
    IF(L104="Essentiel", KPI!$F$3,
      IF(L104="Premium", KPI!$F$4, 0)
    )
  )
)</f>
        <v>45</v>
      </c>
      <c r="AD104" s="15">
        <f t="array" ref="AD104">IF(F104="", "", 
  (T104 / 1.21) 
  - IF(L104="Découverte", KPI!$C$2, 
      IF(L104="Essentiel", KPI!$C$3, 
        IF(L104="Premium", KPI!$C$4, 0)
      )
    ) 
  - N(X104) 
  - N(AA104) 
  - N(AC104)
  - IFERROR(INDEX(Stats!$G:$G, MATCH(DATE(YEAR(R104), MONTH(R104), 1), Stats!$A:$A, 0)), 35)
)</f>
        <v>160.3868465</v>
      </c>
      <c r="AE104" s="18"/>
      <c r="AF104" s="18"/>
      <c r="AG104" s="15"/>
      <c r="AH104" s="15" t="s">
        <v>712</v>
      </c>
      <c r="AI104" s="15" t="s">
        <v>713</v>
      </c>
      <c r="AJ104" s="15"/>
      <c r="AK104" s="15"/>
      <c r="AL104" s="19" t="s">
        <v>714</v>
      </c>
      <c r="AM104" s="17"/>
    </row>
    <row r="105">
      <c r="A105" s="9" t="s">
        <v>517</v>
      </c>
      <c r="B105" s="9" t="s">
        <v>518</v>
      </c>
      <c r="C105" s="21"/>
      <c r="D105" s="11" t="s">
        <v>41</v>
      </c>
      <c r="E105" s="12">
        <v>45924.0</v>
      </c>
      <c r="F105" s="12">
        <v>45990.0</v>
      </c>
      <c r="G105" s="13"/>
      <c r="H105" s="13"/>
      <c r="I105" s="9" t="s">
        <v>519</v>
      </c>
      <c r="J105" s="11" t="s">
        <v>42</v>
      </c>
      <c r="K105" s="14"/>
      <c r="L105" s="9" t="s">
        <v>66</v>
      </c>
      <c r="M105" s="15">
        <v>300.0</v>
      </c>
      <c r="N105" s="15"/>
      <c r="O105" s="14"/>
      <c r="P105" s="14"/>
      <c r="Q105" s="15"/>
      <c r="R105" s="12"/>
      <c r="S105" s="15">
        <v>0.0</v>
      </c>
      <c r="T105" s="15">
        <v>363.0</v>
      </c>
      <c r="U105" s="15">
        <v>363.0</v>
      </c>
      <c r="V105" s="16" t="s">
        <v>380</v>
      </c>
      <c r="W105" s="17">
        <v>2.5</v>
      </c>
      <c r="X105" s="15">
        <f t="shared" si="7"/>
        <v>35</v>
      </c>
      <c r="Y105" s="17">
        <v>6.0</v>
      </c>
      <c r="Z105" s="17">
        <v>24.0</v>
      </c>
      <c r="AA105" s="15">
        <v>3.6</v>
      </c>
      <c r="AB105" s="16"/>
      <c r="AC105" s="15">
        <f>IF(OR(L105="", AB105=""), 0,
  IF(L105="Découverte", KPI!$F$2,
    IF(L105="Essentiel", KPI!$F$3,
      IF(L105="Premium", KPI!$F$4, 0)
    )
  )
)</f>
        <v>0</v>
      </c>
      <c r="AD105" s="15">
        <f t="array" ref="AD105">IF(F105="", "", 
  (T105 / 1.21) 
  - IF(L105="Découverte", KPI!$C$2, 
      IF(L105="Essentiel", KPI!$C$3, 
        IF(L105="Premium", KPI!$C$4, 0)
      )
    ) 
  - N(X105) 
  - N(AA105) 
  - N(AC105)
  - IFERROR(INDEX(Stats!$G:$G, MATCH(DATE(YEAR(R105), MONTH(R105), 1), Stats!$A:$A, 0)), 35)
)</f>
        <v>203.28</v>
      </c>
      <c r="AE105" s="18"/>
      <c r="AF105" s="18"/>
      <c r="AG105" s="15"/>
      <c r="AH105" s="15" t="s">
        <v>715</v>
      </c>
      <c r="AI105" s="15" t="s">
        <v>716</v>
      </c>
      <c r="AJ105" s="15" t="s">
        <v>547</v>
      </c>
      <c r="AK105" s="15"/>
      <c r="AL105" s="19"/>
      <c r="AM105" s="17" t="s">
        <v>717</v>
      </c>
    </row>
    <row r="106">
      <c r="A106" s="9" t="s">
        <v>669</v>
      </c>
      <c r="B106" s="9" t="s">
        <v>670</v>
      </c>
      <c r="C106" s="10" t="s">
        <v>671</v>
      </c>
      <c r="D106" s="11" t="s">
        <v>41</v>
      </c>
      <c r="E106" s="12">
        <v>45947.0</v>
      </c>
      <c r="F106" s="12">
        <v>46144.0</v>
      </c>
      <c r="G106" s="13"/>
      <c r="H106" s="13"/>
      <c r="I106" s="9" t="s">
        <v>718</v>
      </c>
      <c r="J106" s="11" t="s">
        <v>65</v>
      </c>
      <c r="K106" s="9">
        <v>50.0</v>
      </c>
      <c r="L106" s="9" t="s">
        <v>66</v>
      </c>
      <c r="M106" s="15">
        <v>290.0</v>
      </c>
      <c r="N106" s="15">
        <v>90.0</v>
      </c>
      <c r="O106" s="14"/>
      <c r="P106" s="14"/>
      <c r="Q106" s="15"/>
      <c r="R106" s="12"/>
      <c r="S106" s="15">
        <v>150.0</v>
      </c>
      <c r="T106" s="15">
        <v>380.0</v>
      </c>
      <c r="U106" s="15">
        <v>230.0</v>
      </c>
      <c r="V106" s="16"/>
      <c r="W106" s="17">
        <v>6.5</v>
      </c>
      <c r="X106" s="15">
        <f t="shared" si="7"/>
        <v>91</v>
      </c>
      <c r="Y106" s="17">
        <v>106.0</v>
      </c>
      <c r="Z106" s="17">
        <v>424.0</v>
      </c>
      <c r="AA106" s="15">
        <v>63.6</v>
      </c>
      <c r="AB106" s="16"/>
      <c r="AC106" s="15">
        <f>IF(OR(L106="", AB106=""), 0,
  IF(L106="Découverte", KPI!$F$2,
    IF(L106="Essentiel", KPI!$F$3,
      IF(L106="Premium", KPI!$F$4, 0)
    )
  )
)</f>
        <v>0</v>
      </c>
      <c r="AD106" s="15">
        <f t="array" ref="AD106">IF(F106="", "", 
  (T106 / 1.21) 
  - IF(L106="Découverte", KPI!$C$2, 
      IF(L106="Essentiel", KPI!$C$3, 
        IF(L106="Premium", KPI!$C$4, 0)
      )
    ) 
  - N(X106) 
  - N(AA106) 
  - N(AC106)
  - IFERROR(INDEX(Stats!$G:$G, MATCH(DATE(YEAR(R106), MONTH(R106), 1), Stats!$A:$A, 0)), 35)
)</f>
        <v>101.3295868</v>
      </c>
      <c r="AE106" s="18"/>
      <c r="AF106" s="18"/>
      <c r="AG106" s="15"/>
      <c r="AH106" s="15" t="s">
        <v>719</v>
      </c>
      <c r="AI106" s="15" t="s">
        <v>720</v>
      </c>
      <c r="AJ106" s="15"/>
      <c r="AK106" s="15"/>
      <c r="AL106" s="19"/>
      <c r="AM106" s="17"/>
    </row>
    <row r="107">
      <c r="A107" s="9" t="s">
        <v>517</v>
      </c>
      <c r="B107" s="9" t="s">
        <v>518</v>
      </c>
      <c r="C107" s="21"/>
      <c r="D107" s="11" t="s">
        <v>41</v>
      </c>
      <c r="E107" s="12">
        <v>45924.0</v>
      </c>
      <c r="F107" s="12">
        <v>46004.0</v>
      </c>
      <c r="G107" s="9"/>
      <c r="H107" s="9"/>
      <c r="I107" s="9" t="s">
        <v>519</v>
      </c>
      <c r="J107" s="11" t="s">
        <v>42</v>
      </c>
      <c r="K107" s="14"/>
      <c r="L107" s="9" t="s">
        <v>66</v>
      </c>
      <c r="M107" s="15">
        <v>300.0</v>
      </c>
      <c r="N107" s="15"/>
      <c r="O107" s="14"/>
      <c r="P107" s="14"/>
      <c r="Q107" s="15"/>
      <c r="R107" s="12"/>
      <c r="S107" s="15">
        <v>0.0</v>
      </c>
      <c r="T107" s="15">
        <v>363.0</v>
      </c>
      <c r="U107" s="15">
        <v>363.0</v>
      </c>
      <c r="V107" s="16" t="s">
        <v>380</v>
      </c>
      <c r="W107" s="17">
        <v>2.5</v>
      </c>
      <c r="X107" s="15">
        <f t="shared" si="7"/>
        <v>35</v>
      </c>
      <c r="Y107" s="17">
        <v>6.0</v>
      </c>
      <c r="Z107" s="17">
        <v>24.0</v>
      </c>
      <c r="AA107" s="15">
        <v>3.6</v>
      </c>
      <c r="AB107" s="16"/>
      <c r="AC107" s="15">
        <f>IF(OR(L107="", AB107=""), 0,
  IF(L107="Découverte", KPI!$F$2,
    IF(L107="Essentiel", KPI!$F$3,
      IF(L107="Premium", KPI!$F$4, 0)
    )
  )
)</f>
        <v>0</v>
      </c>
      <c r="AD107" s="15">
        <f t="array" ref="AD107">IF(F107="", "", 
  (T107 / 1.21) 
  - IF(L107="Découverte", KPI!$C$2, 
      IF(L107="Essentiel", KPI!$C$3, 
        IF(L107="Premium", KPI!$C$4, 0)
      )
    ) 
  - N(X107) 
  - N(AA107) 
  - N(AC107)
  - IFERROR(INDEX(Stats!$G:$G, MATCH(DATE(YEAR(R107), MONTH(R107), 1), Stats!$A:$A, 0)), 35)
)</f>
        <v>203.28</v>
      </c>
      <c r="AE107" s="18"/>
      <c r="AF107" s="24" t="s">
        <v>721</v>
      </c>
      <c r="AG107" s="15"/>
      <c r="AH107" s="15" t="s">
        <v>722</v>
      </c>
      <c r="AI107" s="15" t="s">
        <v>716</v>
      </c>
      <c r="AJ107" s="15" t="s">
        <v>382</v>
      </c>
      <c r="AK107" s="15"/>
      <c r="AL107" s="19"/>
      <c r="AM107" s="17" t="s">
        <v>723</v>
      </c>
    </row>
    <row r="108">
      <c r="A108" s="9" t="s">
        <v>724</v>
      </c>
      <c r="B108" s="9" t="s">
        <v>725</v>
      </c>
      <c r="C108" s="10" t="s">
        <v>726</v>
      </c>
      <c r="D108" s="11" t="s">
        <v>41</v>
      </c>
      <c r="E108" s="12">
        <v>45955.0</v>
      </c>
      <c r="F108" s="12">
        <v>46032.0</v>
      </c>
      <c r="G108" s="9"/>
      <c r="H108" s="9"/>
      <c r="I108" s="9" t="s">
        <v>727</v>
      </c>
      <c r="J108" s="11" t="s">
        <v>728</v>
      </c>
      <c r="K108" s="9">
        <v>80.0</v>
      </c>
      <c r="L108" s="9" t="s">
        <v>50</v>
      </c>
      <c r="M108" s="15">
        <v>390.0</v>
      </c>
      <c r="N108" s="15">
        <v>90.0</v>
      </c>
      <c r="O108" s="14"/>
      <c r="P108" s="14"/>
      <c r="Q108" s="15"/>
      <c r="R108" s="12">
        <v>45968.0</v>
      </c>
      <c r="S108" s="15">
        <v>150.0</v>
      </c>
      <c r="T108" s="15">
        <v>480.0</v>
      </c>
      <c r="U108" s="15">
        <v>330.0</v>
      </c>
      <c r="V108" s="16"/>
      <c r="W108" s="17">
        <v>7.5</v>
      </c>
      <c r="X108" s="15">
        <f t="shared" si="7"/>
        <v>105</v>
      </c>
      <c r="Y108" s="17">
        <v>122.0</v>
      </c>
      <c r="Z108" s="17">
        <v>488.0</v>
      </c>
      <c r="AA108" s="15">
        <v>73.2</v>
      </c>
      <c r="AB108" s="16" t="s">
        <v>711</v>
      </c>
      <c r="AC108" s="15">
        <f>IF(OR(L108="", AB108=""), 0,
  IF(L108="Découverte", KPI!$F$2,
    IF(L108="Essentiel", KPI!$F$3,
      IF(L108="Premium", KPI!$F$4, 0)
    )
  )
)</f>
        <v>45</v>
      </c>
      <c r="AD108" s="15">
        <f t="array" ref="AD108">IF(F108="", "", 
  (T108 / 1.21) 
  - IF(L108="Découverte", KPI!$C$2, 
      IF(L108="Essentiel", KPI!$C$3, 
        IF(L108="Premium", KPI!$C$4, 0)
      )
    ) 
  - N(X108) 
  - N(AA108) 
  - N(AC108)
  - IFERROR(INDEX(Stats!$G:$G, MATCH(DATE(YEAR(R108), MONTH(R108), 1), Stats!$A:$A, 0)), 35)
)</f>
        <v>73.58684645</v>
      </c>
      <c r="AE108" s="18"/>
      <c r="AF108" s="18"/>
      <c r="AG108" s="15"/>
      <c r="AH108" s="15" t="s">
        <v>729</v>
      </c>
      <c r="AI108" s="15" t="s">
        <v>576</v>
      </c>
      <c r="AJ108" s="15" t="s">
        <v>382</v>
      </c>
      <c r="AK108" s="15"/>
      <c r="AL108" s="19" t="s">
        <v>730</v>
      </c>
      <c r="AM108" s="17" t="s">
        <v>731</v>
      </c>
    </row>
    <row r="109">
      <c r="A109" s="9" t="s">
        <v>732</v>
      </c>
      <c r="B109" s="9" t="s">
        <v>733</v>
      </c>
      <c r="C109" s="10" t="s">
        <v>734</v>
      </c>
      <c r="D109" s="11" t="s">
        <v>41</v>
      </c>
      <c r="E109" s="12">
        <v>45950.0</v>
      </c>
      <c r="F109" s="12">
        <v>46200.0</v>
      </c>
      <c r="G109" s="9"/>
      <c r="H109" s="9"/>
      <c r="I109" s="9" t="s">
        <v>735</v>
      </c>
      <c r="J109" s="11" t="s">
        <v>65</v>
      </c>
      <c r="K109" s="9">
        <v>68.0</v>
      </c>
      <c r="L109" s="9" t="s">
        <v>66</v>
      </c>
      <c r="M109" s="15">
        <v>290.0</v>
      </c>
      <c r="N109" s="15">
        <v>90.0</v>
      </c>
      <c r="O109" s="14"/>
      <c r="P109" s="14"/>
      <c r="Q109" s="15"/>
      <c r="R109" s="12">
        <v>45968.0</v>
      </c>
      <c r="S109" s="15">
        <v>150.0</v>
      </c>
      <c r="T109" s="15">
        <v>380.0</v>
      </c>
      <c r="U109" s="15">
        <v>230.0</v>
      </c>
      <c r="V109" s="16"/>
      <c r="W109" s="17">
        <v>6.0</v>
      </c>
      <c r="X109" s="15">
        <f t="shared" si="7"/>
        <v>84</v>
      </c>
      <c r="Y109" s="17">
        <v>94.0</v>
      </c>
      <c r="Z109" s="17">
        <v>376.0</v>
      </c>
      <c r="AA109" s="15">
        <v>56.4</v>
      </c>
      <c r="AB109" s="16"/>
      <c r="AC109" s="15">
        <f>IF(OR(L109="", AB109=""), 0,
  IF(L109="Découverte", KPI!$F$2,
    IF(L109="Essentiel", KPI!$F$3,
      IF(L109="Premium", KPI!$F$4, 0)
    )
  )
)</f>
        <v>0</v>
      </c>
      <c r="AD109" s="15">
        <f t="array" ref="AD109">IF(F109="", "", 
  (T109 / 1.21) 
  - IF(L109="Découverte", KPI!$C$2, 
      IF(L109="Essentiel", KPI!$C$3, 
        IF(L109="Premium", KPI!$C$4, 0)
      )
    ) 
  - N(X109) 
  - N(AA109) 
  - N(AC109)
  - IFERROR(INDEX(Stats!$G:$G, MATCH(DATE(YEAR(R109), MONTH(R109), 1), Stats!$A:$A, 0)), 35)
)</f>
        <v>96.87221836</v>
      </c>
      <c r="AE109" s="18"/>
      <c r="AF109" s="18"/>
      <c r="AG109" s="15"/>
      <c r="AH109" s="15" t="s">
        <v>736</v>
      </c>
      <c r="AI109" s="15" t="s">
        <v>680</v>
      </c>
      <c r="AJ109" s="15"/>
      <c r="AK109" s="15"/>
      <c r="AL109" s="19" t="s">
        <v>737</v>
      </c>
      <c r="AM109" s="17"/>
    </row>
    <row r="110">
      <c r="A110" s="9" t="s">
        <v>738</v>
      </c>
      <c r="B110" s="9" t="s">
        <v>739</v>
      </c>
      <c r="C110" s="10"/>
      <c r="D110" s="11" t="s">
        <v>41</v>
      </c>
      <c r="E110" s="12">
        <v>45967.0</v>
      </c>
      <c r="F110" s="12">
        <v>46298.0</v>
      </c>
      <c r="G110" s="9"/>
      <c r="H110" s="9"/>
      <c r="I110" s="9" t="s">
        <v>740</v>
      </c>
      <c r="J110" s="11" t="s">
        <v>65</v>
      </c>
      <c r="K110" s="9">
        <v>260.0</v>
      </c>
      <c r="L110" s="9" t="s">
        <v>43</v>
      </c>
      <c r="M110" s="15">
        <v>490.0</v>
      </c>
      <c r="N110" s="15">
        <v>90.0</v>
      </c>
      <c r="O110" s="14"/>
      <c r="P110" s="14"/>
      <c r="Q110" s="15"/>
      <c r="R110" s="12">
        <v>45969.0</v>
      </c>
      <c r="S110" s="15">
        <v>150.0</v>
      </c>
      <c r="T110" s="15">
        <v>580.0</v>
      </c>
      <c r="U110" s="15">
        <v>430.0</v>
      </c>
      <c r="V110" s="16"/>
      <c r="W110" s="17">
        <v>8.0</v>
      </c>
      <c r="X110" s="15">
        <f t="shared" si="7"/>
        <v>112</v>
      </c>
      <c r="Y110" s="17">
        <v>155.0</v>
      </c>
      <c r="Z110" s="17">
        <v>620.0</v>
      </c>
      <c r="AA110" s="15">
        <v>93.0</v>
      </c>
      <c r="AB110" s="16"/>
      <c r="AC110" s="15">
        <f>IF(OR(L110="", AB110=""), 0,
  IF(L110="Découverte", KPI!$F$2,
    IF(L110="Essentiel", KPI!$F$3,
      IF(L110="Premium", KPI!$F$4, 0)
    )
  )
)</f>
        <v>0</v>
      </c>
      <c r="AD110" s="15">
        <f t="array" ref="AD110">IF(F110="", "", 
  (T110 / 1.21) 
  - IF(L110="Découverte", KPI!$C$2, 
      IF(L110="Essentiel", KPI!$C$3, 
        IF(L110="Premium", KPI!$C$4, 0)
      )
    ) 
  - N(X110) 
  - N(AA110) 
  - N(AC110)
  - IFERROR(INDEX(Stats!$G:$G, MATCH(DATE(YEAR(R110), MONTH(R110), 1), Stats!$A:$A, 0)), 35)
)</f>
        <v>128.1814746</v>
      </c>
      <c r="AE110" s="18"/>
      <c r="AF110" s="18"/>
      <c r="AG110" s="15"/>
      <c r="AH110" s="15" t="s">
        <v>741</v>
      </c>
      <c r="AI110" s="15" t="s">
        <v>680</v>
      </c>
      <c r="AJ110" s="15"/>
      <c r="AK110" s="15"/>
      <c r="AL110" s="19" t="s">
        <v>742</v>
      </c>
      <c r="AM110" s="17"/>
    </row>
    <row r="111">
      <c r="A111" s="9" t="s">
        <v>743</v>
      </c>
      <c r="B111" s="9" t="s">
        <v>744</v>
      </c>
      <c r="C111" s="10" t="s">
        <v>745</v>
      </c>
      <c r="D111" s="11" t="s">
        <v>41</v>
      </c>
      <c r="E111" s="12">
        <v>45930.0</v>
      </c>
      <c r="F111" s="12">
        <v>46191.0</v>
      </c>
      <c r="G111" s="9"/>
      <c r="H111" s="9"/>
      <c r="I111" s="9" t="s">
        <v>746</v>
      </c>
      <c r="J111" s="11" t="s">
        <v>65</v>
      </c>
      <c r="K111" s="9">
        <v>65.0</v>
      </c>
      <c r="L111" s="9" t="s">
        <v>66</v>
      </c>
      <c r="M111" s="15">
        <v>290.0</v>
      </c>
      <c r="N111" s="15">
        <v>90.0</v>
      </c>
      <c r="O111" s="14"/>
      <c r="P111" s="14"/>
      <c r="Q111" s="15"/>
      <c r="R111" s="12">
        <v>45970.0</v>
      </c>
      <c r="S111" s="15">
        <v>150.0</v>
      </c>
      <c r="T111" s="15">
        <v>380.0</v>
      </c>
      <c r="U111" s="15">
        <v>230.0</v>
      </c>
      <c r="V111" s="16"/>
      <c r="W111" s="17">
        <v>4.5</v>
      </c>
      <c r="X111" s="15">
        <f t="shared" si="7"/>
        <v>63</v>
      </c>
      <c r="Y111" s="17">
        <v>71.0</v>
      </c>
      <c r="Z111" s="17">
        <v>284.0</v>
      </c>
      <c r="AA111" s="15">
        <v>42.6</v>
      </c>
      <c r="AB111" s="16"/>
      <c r="AC111" s="15">
        <f>IF(OR(L111="", AB111=""), 0,
  IF(L111="Découverte", KPI!$F$2,
    IF(L111="Essentiel", KPI!$F$3,
      IF(L111="Premium", KPI!$F$4, 0)
    )
  )
)</f>
        <v>0</v>
      </c>
      <c r="AD111" s="15">
        <f t="array" ref="AD111">IF(F111="", "", 
  (T111 / 1.21) 
  - IF(L111="Découverte", KPI!$C$2, 
      IF(L111="Essentiel", KPI!$C$3, 
        IF(L111="Premium", KPI!$C$4, 0)
      )
    ) 
  - N(X111) 
  - N(AA111) 
  - N(AC111)
  - IFERROR(INDEX(Stats!$G:$G, MATCH(DATE(YEAR(R111), MONTH(R111), 1), Stats!$A:$A, 0)), 35)
)</f>
        <v>131.6722184</v>
      </c>
      <c r="AE111" s="18"/>
      <c r="AF111" s="18"/>
      <c r="AG111" s="15"/>
      <c r="AH111" s="15" t="s">
        <v>747</v>
      </c>
      <c r="AI111" s="15" t="s">
        <v>680</v>
      </c>
      <c r="AJ111" s="15"/>
      <c r="AK111" s="15"/>
      <c r="AL111" s="19" t="s">
        <v>748</v>
      </c>
      <c r="AM111" s="17"/>
    </row>
    <row r="112" ht="15.0" customHeight="1">
      <c r="A112" s="9" t="s">
        <v>749</v>
      </c>
      <c r="B112" s="9" t="s">
        <v>750</v>
      </c>
      <c r="C112" s="10" t="s">
        <v>751</v>
      </c>
      <c r="D112" s="11" t="s">
        <v>41</v>
      </c>
      <c r="E112" s="12">
        <v>45961.0</v>
      </c>
      <c r="F112" s="12">
        <v>46011.0</v>
      </c>
      <c r="G112" s="9"/>
      <c r="H112" s="9"/>
      <c r="I112" s="9" t="s">
        <v>752</v>
      </c>
      <c r="J112" s="11" t="s">
        <v>65</v>
      </c>
      <c r="K112" s="9"/>
      <c r="L112" s="9" t="s">
        <v>50</v>
      </c>
      <c r="M112" s="15">
        <v>340.0</v>
      </c>
      <c r="N112" s="15">
        <v>110.0</v>
      </c>
      <c r="O112" s="14"/>
      <c r="P112" s="14"/>
      <c r="Q112" s="15"/>
      <c r="R112" s="12">
        <v>45972.0</v>
      </c>
      <c r="S112" s="15">
        <v>150.0</v>
      </c>
      <c r="T112" s="15">
        <f>SUM(M112:N112)</f>
        <v>450</v>
      </c>
      <c r="U112" s="15">
        <f>T112-S112</f>
        <v>300</v>
      </c>
      <c r="V112" s="16" t="s">
        <v>380</v>
      </c>
      <c r="W112" s="17">
        <v>6.0</v>
      </c>
      <c r="X112" s="15">
        <f t="shared" si="7"/>
        <v>84</v>
      </c>
      <c r="Y112" s="17">
        <v>102.0</v>
      </c>
      <c r="Z112" s="17">
        <v>408.0</v>
      </c>
      <c r="AA112" s="15">
        <v>61.2</v>
      </c>
      <c r="AB112" s="16"/>
      <c r="AC112" s="15">
        <f>IF(OR(L112="", AB112=""), 0,
  IF(L112="Découverte", KPI!$F$2,
    IF(L112="Essentiel", KPI!$F$3,
      IF(L112="Premium", KPI!$F$4, 0)
    )
  )
)</f>
        <v>0</v>
      </c>
      <c r="AD112" s="15">
        <f t="array" ref="AD112">IF(F112="", "", 
  (T112 / 1.21) 
  - IF(L112="Découverte", KPI!$C$2, 
      IF(L112="Essentiel", KPI!$C$3, 
        IF(L112="Premium", KPI!$C$4, 0)
      )
    ) 
  - N(X112) 
  - N(AA112) 
  - N(AC112)
  - IFERROR(INDEX(Stats!$G:$G, MATCH(DATE(YEAR(R112), MONTH(R112), 1), Stats!$A:$A, 0)), 35)
)</f>
        <v>126.793458</v>
      </c>
      <c r="AE112" s="18"/>
      <c r="AF112" s="18"/>
      <c r="AG112" s="15"/>
      <c r="AH112" s="15" t="s">
        <v>753</v>
      </c>
      <c r="AI112" s="15" t="s">
        <v>754</v>
      </c>
      <c r="AJ112" s="15" t="s">
        <v>382</v>
      </c>
      <c r="AK112" s="15"/>
      <c r="AL112" s="19" t="s">
        <v>755</v>
      </c>
      <c r="AM112" s="17" t="s">
        <v>756</v>
      </c>
    </row>
    <row r="113">
      <c r="A113" s="9" t="s">
        <v>757</v>
      </c>
      <c r="B113" s="9" t="s">
        <v>758</v>
      </c>
      <c r="C113" s="10" t="s">
        <v>759</v>
      </c>
      <c r="D113" s="11" t="s">
        <v>41</v>
      </c>
      <c r="E113" s="12">
        <v>45943.0</v>
      </c>
      <c r="F113" s="12">
        <v>46207.0</v>
      </c>
      <c r="G113" s="9"/>
      <c r="H113" s="9"/>
      <c r="I113" s="9" t="s">
        <v>760</v>
      </c>
      <c r="J113" s="11" t="s">
        <v>761</v>
      </c>
      <c r="K113" s="9">
        <v>100.0</v>
      </c>
      <c r="L113" s="9" t="s">
        <v>50</v>
      </c>
      <c r="M113" s="15">
        <v>390.0</v>
      </c>
      <c r="N113" s="15">
        <v>90.0</v>
      </c>
      <c r="O113" s="14"/>
      <c r="P113" s="14"/>
      <c r="Q113" s="15"/>
      <c r="R113" s="12">
        <v>45975.0</v>
      </c>
      <c r="S113" s="15">
        <v>150.0</v>
      </c>
      <c r="T113" s="15">
        <v>480.0</v>
      </c>
      <c r="U113" s="15">
        <v>480.0</v>
      </c>
      <c r="V113" s="16"/>
      <c r="W113" s="17">
        <v>4.0</v>
      </c>
      <c r="X113" s="15">
        <f t="shared" si="7"/>
        <v>56</v>
      </c>
      <c r="Y113" s="17">
        <v>57.0</v>
      </c>
      <c r="Z113" s="17">
        <v>228.0</v>
      </c>
      <c r="AA113" s="15">
        <v>34.2</v>
      </c>
      <c r="AB113" s="16" t="s">
        <v>711</v>
      </c>
      <c r="AC113" s="15">
        <f>IF(OR(L113="", AB113=""), 0,
  IF(L113="Découverte", KPI!$F$2,
    IF(L113="Essentiel", KPI!$F$3,
      IF(L113="Premium", KPI!$F$4, 0)
    )
  )
)</f>
        <v>45</v>
      </c>
      <c r="AD113" s="15">
        <f t="array" ref="AD113">IF(F113="", "", 
  (T113 / 1.21) 
  - IF(L113="Découverte", KPI!$C$2, 
      IF(L113="Essentiel", KPI!$C$3, 
        IF(L113="Premium", KPI!$C$4, 0)
      )
    ) 
  - N(X113) 
  - N(AA113) 
  - N(AC113)
  - IFERROR(INDEX(Stats!$G:$G, MATCH(DATE(YEAR(R113), MONTH(R113), 1), Stats!$A:$A, 0)), 35)
)</f>
        <v>161.5868465</v>
      </c>
      <c r="AE113" s="18"/>
      <c r="AF113" s="18"/>
      <c r="AG113" s="15"/>
      <c r="AH113" s="15" t="s">
        <v>762</v>
      </c>
      <c r="AI113" s="15" t="s">
        <v>763</v>
      </c>
      <c r="AJ113" s="15"/>
      <c r="AK113" s="15"/>
      <c r="AL113" s="19" t="s">
        <v>764</v>
      </c>
      <c r="AM113" s="17"/>
    </row>
    <row r="114">
      <c r="A114" s="9" t="s">
        <v>765</v>
      </c>
      <c r="B114" s="9" t="s">
        <v>766</v>
      </c>
      <c r="C114" s="10" t="s">
        <v>767</v>
      </c>
      <c r="D114" s="11" t="s">
        <v>41</v>
      </c>
      <c r="E114" s="12">
        <v>45972.0</v>
      </c>
      <c r="F114" s="12">
        <v>46242.0</v>
      </c>
      <c r="G114" s="9"/>
      <c r="H114" s="9"/>
      <c r="I114" s="9" t="s">
        <v>768</v>
      </c>
      <c r="J114" s="11" t="s">
        <v>65</v>
      </c>
      <c r="K114" s="9">
        <v>50.0</v>
      </c>
      <c r="L114" s="9" t="s">
        <v>50</v>
      </c>
      <c r="M114" s="15">
        <v>390.0</v>
      </c>
      <c r="N114" s="15">
        <v>90.0</v>
      </c>
      <c r="O114" s="14"/>
      <c r="P114" s="14"/>
      <c r="Q114" s="15"/>
      <c r="R114" s="12">
        <v>45975.0</v>
      </c>
      <c r="S114" s="15">
        <v>150.0</v>
      </c>
      <c r="T114" s="15">
        <v>480.0</v>
      </c>
      <c r="U114" s="15">
        <v>330.0</v>
      </c>
      <c r="V114" s="16"/>
      <c r="W114" s="17">
        <v>3.0</v>
      </c>
      <c r="X114" s="15">
        <f t="shared" si="7"/>
        <v>42</v>
      </c>
      <c r="Y114" s="17">
        <v>26.0</v>
      </c>
      <c r="Z114" s="17">
        <v>104.0</v>
      </c>
      <c r="AA114" s="15">
        <v>15.6</v>
      </c>
      <c r="AB114" s="16"/>
      <c r="AC114" s="15">
        <f>IF(OR(L114="", AB114=""), 0,
  IF(L114="Découverte", KPI!$F$2,
    IF(L114="Essentiel", KPI!$F$3,
      IF(L114="Premium", KPI!$F$4, 0)
    )
  )
)</f>
        <v>0</v>
      </c>
      <c r="AD114" s="15">
        <f t="array" ref="AD114">IF(F114="", "", 
  (T114 / 1.21) 
  - IF(L114="Découverte", KPI!$C$2, 
      IF(L114="Essentiel", KPI!$C$3, 
        IF(L114="Premium", KPI!$C$4, 0)
      )
    ) 
  - N(X114) 
  - N(AA114) 
  - N(AC114)
  - IFERROR(INDEX(Stats!$G:$G, MATCH(DATE(YEAR(R114), MONTH(R114), 1), Stats!$A:$A, 0)), 35)
)</f>
        <v>239.1868465</v>
      </c>
      <c r="AE114" s="18"/>
      <c r="AF114" s="18"/>
      <c r="AG114" s="15"/>
      <c r="AH114" s="15" t="s">
        <v>769</v>
      </c>
      <c r="AI114" s="15" t="s">
        <v>763</v>
      </c>
      <c r="AJ114" s="15"/>
      <c r="AK114" s="15"/>
      <c r="AL114" s="19" t="s">
        <v>770</v>
      </c>
      <c r="AM114" s="17"/>
    </row>
    <row r="115">
      <c r="A115" s="9" t="s">
        <v>771</v>
      </c>
      <c r="B115" s="9" t="s">
        <v>772</v>
      </c>
      <c r="C115" s="10"/>
      <c r="D115" s="11" t="s">
        <v>41</v>
      </c>
      <c r="E115" s="12">
        <v>45979.0</v>
      </c>
      <c r="F115" s="12">
        <v>46291.0</v>
      </c>
      <c r="G115" s="9"/>
      <c r="H115" s="9"/>
      <c r="I115" s="9" t="s">
        <v>773</v>
      </c>
      <c r="J115" s="11" t="s">
        <v>65</v>
      </c>
      <c r="K115" s="9"/>
      <c r="L115" s="9" t="s">
        <v>50</v>
      </c>
      <c r="M115" s="15">
        <v>390.0</v>
      </c>
      <c r="N115" s="15">
        <v>90.0</v>
      </c>
      <c r="O115" s="14"/>
      <c r="P115" s="14"/>
      <c r="Q115" s="15"/>
      <c r="R115" s="12">
        <v>45979.0</v>
      </c>
      <c r="S115" s="15">
        <v>150.0</v>
      </c>
      <c r="T115" s="15">
        <v>480.0</v>
      </c>
      <c r="U115" s="15">
        <v>330.0</v>
      </c>
      <c r="V115" s="16"/>
      <c r="W115" s="17">
        <v>2.5</v>
      </c>
      <c r="X115" s="15">
        <f t="shared" si="7"/>
        <v>35</v>
      </c>
      <c r="Y115" s="17">
        <v>17.0</v>
      </c>
      <c r="Z115" s="17">
        <v>68.0</v>
      </c>
      <c r="AA115" s="15">
        <v>10.2</v>
      </c>
      <c r="AB115" s="16"/>
      <c r="AC115" s="15">
        <f>IF(OR(L115="", AB115=""), 0,
  IF(L115="Découverte", KPI!$F$2,
    IF(L115="Essentiel", KPI!$F$3,
      IF(L115="Premium", KPI!$F$4, 0)
    )
  )
)</f>
        <v>0</v>
      </c>
      <c r="AD115" s="15">
        <f t="array" ref="AD115">IF(F115="", "", 
  (T115 / 1.21) 
  - IF(L115="Découverte", KPI!$C$2, 
      IF(L115="Essentiel", KPI!$C$3, 
        IF(L115="Premium", KPI!$C$4, 0)
      )
    ) 
  - N(X115) 
  - N(AA115) 
  - N(AC115)
  - IFERROR(INDEX(Stats!$G:$G, MATCH(DATE(YEAR(R115), MONTH(R115), 1), Stats!$A:$A, 0)), 35)
)</f>
        <v>251.5868465</v>
      </c>
      <c r="AE115" s="18"/>
      <c r="AF115" s="18"/>
      <c r="AG115" s="15"/>
      <c r="AH115" s="15" t="s">
        <v>774</v>
      </c>
      <c r="AI115" s="15" t="s">
        <v>775</v>
      </c>
      <c r="AJ115" s="15"/>
      <c r="AK115" s="15"/>
      <c r="AL115" s="19" t="s">
        <v>776</v>
      </c>
      <c r="AM115" s="17"/>
    </row>
    <row r="116">
      <c r="A116" s="9" t="s">
        <v>777</v>
      </c>
      <c r="B116" s="9" t="s">
        <v>778</v>
      </c>
      <c r="C116" s="10" t="s">
        <v>779</v>
      </c>
      <c r="D116" s="11" t="s">
        <v>41</v>
      </c>
      <c r="E116" s="12">
        <v>45955.0</v>
      </c>
      <c r="F116" s="12">
        <v>46186.0</v>
      </c>
      <c r="G116" s="9"/>
      <c r="H116" s="9"/>
      <c r="I116" s="9" t="s">
        <v>780</v>
      </c>
      <c r="J116" s="11" t="s">
        <v>65</v>
      </c>
      <c r="K116" s="9">
        <v>80.0</v>
      </c>
      <c r="L116" s="9" t="s">
        <v>50</v>
      </c>
      <c r="M116" s="15">
        <v>390.0</v>
      </c>
      <c r="N116" s="15">
        <v>90.0</v>
      </c>
      <c r="O116" s="14"/>
      <c r="P116" s="14"/>
      <c r="Q116" s="15"/>
      <c r="R116" s="12">
        <v>45980.0</v>
      </c>
      <c r="S116" s="15">
        <v>150.0</v>
      </c>
      <c r="T116" s="15">
        <v>480.0</v>
      </c>
      <c r="U116" s="15">
        <v>330.0</v>
      </c>
      <c r="V116" s="16"/>
      <c r="W116" s="17">
        <v>4.5</v>
      </c>
      <c r="X116" s="15">
        <f t="shared" si="7"/>
        <v>63</v>
      </c>
      <c r="Y116" s="17">
        <v>61.0</v>
      </c>
      <c r="Z116" s="17">
        <v>244.0</v>
      </c>
      <c r="AA116" s="15">
        <v>36.6</v>
      </c>
      <c r="AB116" s="16" t="s">
        <v>711</v>
      </c>
      <c r="AC116" s="15">
        <f>IF(OR(L116="", AB116=""), 0,
  IF(L116="Découverte", KPI!$F$2,
    IF(L116="Essentiel", KPI!$F$3,
      IF(L116="Premium", KPI!$F$4, 0)
    )
  )
)</f>
        <v>45</v>
      </c>
      <c r="AD116" s="15">
        <f t="array" ref="AD116">IF(F116="", "", 
  (T116 / 1.21) 
  - IF(L116="Découverte", KPI!$C$2, 
      IF(L116="Essentiel", KPI!$C$3, 
        IF(L116="Premium", KPI!$C$4, 0)
      )
    ) 
  - N(X116) 
  - N(AA116) 
  - N(AC116)
  - IFERROR(INDEX(Stats!$G:$G, MATCH(DATE(YEAR(R116), MONTH(R116), 1), Stats!$A:$A, 0)), 35)
)</f>
        <v>152.1868465</v>
      </c>
      <c r="AE116" s="18"/>
      <c r="AF116" s="18"/>
      <c r="AG116" s="15"/>
      <c r="AH116" s="15" t="s">
        <v>781</v>
      </c>
      <c r="AI116" s="15" t="s">
        <v>763</v>
      </c>
      <c r="AJ116" s="15"/>
      <c r="AK116" s="15"/>
      <c r="AL116" s="19" t="s">
        <v>782</v>
      </c>
      <c r="AM116" s="17"/>
    </row>
    <row r="117">
      <c r="A117" s="9" t="s">
        <v>783</v>
      </c>
      <c r="B117" s="9" t="s">
        <v>784</v>
      </c>
      <c r="C117" s="10" t="s">
        <v>785</v>
      </c>
      <c r="D117" s="11" t="s">
        <v>41</v>
      </c>
      <c r="E117" s="12">
        <v>45975.0</v>
      </c>
      <c r="F117" s="12">
        <v>46200.0</v>
      </c>
      <c r="G117" s="9"/>
      <c r="H117" s="9"/>
      <c r="I117" s="9" t="s">
        <v>431</v>
      </c>
      <c r="J117" s="11" t="s">
        <v>65</v>
      </c>
      <c r="K117" s="9">
        <v>220.0</v>
      </c>
      <c r="L117" s="9" t="s">
        <v>50</v>
      </c>
      <c r="M117" s="15">
        <v>390.0</v>
      </c>
      <c r="N117" s="15">
        <v>90.0</v>
      </c>
      <c r="O117" s="14"/>
      <c r="P117" s="14"/>
      <c r="Q117" s="15"/>
      <c r="R117" s="12">
        <v>45981.0</v>
      </c>
      <c r="S117" s="15">
        <v>150.0</v>
      </c>
      <c r="T117" s="15">
        <v>480.0</v>
      </c>
      <c r="U117" s="15">
        <v>330.0</v>
      </c>
      <c r="V117" s="16"/>
      <c r="W117" s="17">
        <v>2.5</v>
      </c>
      <c r="X117" s="15">
        <f t="shared" si="7"/>
        <v>35</v>
      </c>
      <c r="Y117" s="17">
        <v>7.0</v>
      </c>
      <c r="Z117" s="17">
        <v>28.0</v>
      </c>
      <c r="AA117" s="15">
        <v>4.2</v>
      </c>
      <c r="AB117" s="16" t="s">
        <v>711</v>
      </c>
      <c r="AC117" s="15">
        <f>IF(OR(L117="", AB117=""), 0,
  IF(L117="Découverte", KPI!$F$2,
    IF(L117="Essentiel", KPI!$F$3,
      IF(L117="Premium", KPI!$F$4, 0)
    )
  )
)</f>
        <v>45</v>
      </c>
      <c r="AD117" s="15">
        <f t="array" ref="AD117">IF(F117="", "", 
  (T117 / 1.21) 
  - IF(L117="Découverte", KPI!$C$2, 
      IF(L117="Essentiel", KPI!$C$3, 
        IF(L117="Premium", KPI!$C$4, 0)
      )
    ) 
  - N(X117) 
  - N(AA117) 
  - N(AC117)
  - IFERROR(INDEX(Stats!$G:$G, MATCH(DATE(YEAR(R117), MONTH(R117), 1), Stats!$A:$A, 0)), 35)
)</f>
        <v>212.5868465</v>
      </c>
      <c r="AE117" s="18"/>
      <c r="AF117" s="18"/>
      <c r="AG117" s="15"/>
      <c r="AH117" s="15" t="s">
        <v>786</v>
      </c>
      <c r="AI117" s="15" t="s">
        <v>763</v>
      </c>
      <c r="AJ117" s="15"/>
      <c r="AK117" s="15"/>
      <c r="AL117" s="19" t="s">
        <v>787</v>
      </c>
      <c r="AM117" s="17"/>
    </row>
    <row r="118">
      <c r="A118" s="9" t="s">
        <v>788</v>
      </c>
      <c r="B118" s="9" t="s">
        <v>789</v>
      </c>
      <c r="C118" s="25">
        <v>3.2493522558E10</v>
      </c>
      <c r="D118" s="11" t="s">
        <v>41</v>
      </c>
      <c r="E118" s="12">
        <v>45924.0</v>
      </c>
      <c r="F118" s="12">
        <v>46165.0</v>
      </c>
      <c r="G118" s="12"/>
      <c r="H118" s="9"/>
      <c r="I118" s="9" t="s">
        <v>790</v>
      </c>
      <c r="J118" s="11" t="s">
        <v>65</v>
      </c>
      <c r="K118" s="9">
        <v>60.0</v>
      </c>
      <c r="L118" s="9" t="s">
        <v>50</v>
      </c>
      <c r="M118" s="15">
        <v>390.0</v>
      </c>
      <c r="N118" s="15">
        <v>90.0</v>
      </c>
      <c r="O118" s="15"/>
      <c r="P118" s="14"/>
      <c r="Q118" s="14"/>
      <c r="R118" s="12">
        <v>45983.0</v>
      </c>
      <c r="S118" s="15">
        <v>150.0</v>
      </c>
      <c r="T118" s="15">
        <v>480.0</v>
      </c>
      <c r="U118" s="15">
        <v>480.0</v>
      </c>
      <c r="V118" s="16"/>
      <c r="W118" s="17">
        <v>6.5</v>
      </c>
      <c r="X118" s="15">
        <f t="shared" si="7"/>
        <v>91</v>
      </c>
      <c r="Y118" s="17">
        <v>103.0</v>
      </c>
      <c r="Z118" s="17">
        <v>412.0</v>
      </c>
      <c r="AA118" s="15">
        <v>61.8</v>
      </c>
      <c r="AB118" s="16"/>
      <c r="AC118" s="15">
        <f>IF(OR(L118="", AB118=""), 0,
  IF(L118="Découverte", KPI!$F$2,
    IF(L118="Essentiel", KPI!$F$3,
      IF(L118="Premium", KPI!$F$4, 0)
    )
  )
)</f>
        <v>0</v>
      </c>
      <c r="AD118" s="15">
        <f t="array" ref="AD118">IF(F118="", "", 
  (T118 / 1.21) 
  - IF(L118="Découverte", KPI!$C$2, 
      IF(L118="Essentiel", KPI!$C$3, 
        IF(L118="Premium", KPI!$C$4, 0)
      )
    ) 
  - N(X118) 
  - N(AA118) 
  - N(AC118)
  - IFERROR(INDEX(Stats!$G:$G, MATCH(DATE(YEAR(R118), MONTH(R118), 1), Stats!$A:$A, 0)), 35)
)</f>
        <v>143.9868465</v>
      </c>
      <c r="AE118" s="15"/>
      <c r="AF118" s="18"/>
      <c r="AG118" s="18"/>
      <c r="AH118" s="15" t="s">
        <v>791</v>
      </c>
      <c r="AI118" s="15" t="s">
        <v>792</v>
      </c>
      <c r="AJ118" s="15"/>
      <c r="AK118" s="15"/>
      <c r="AL118" s="19" t="s">
        <v>793</v>
      </c>
      <c r="AM118" s="17"/>
    </row>
    <row r="119">
      <c r="A119" s="9" t="s">
        <v>794</v>
      </c>
      <c r="B119" s="9" t="s">
        <v>795</v>
      </c>
      <c r="C119" s="25">
        <v>33769607484</v>
      </c>
      <c r="D119" s="11" t="s">
        <v>41</v>
      </c>
      <c r="E119" s="26">
        <v>45984.88611111111</v>
      </c>
      <c r="F119" s="26">
        <v>46179.0</v>
      </c>
      <c r="G119" s="12"/>
      <c r="H119" s="9"/>
      <c r="I119" s="9" t="s">
        <v>796</v>
      </c>
      <c r="J119" s="11" t="s">
        <v>65</v>
      </c>
      <c r="K119" s="9">
        <v>100.0</v>
      </c>
      <c r="L119" s="9" t="s">
        <v>50</v>
      </c>
      <c r="M119" s="15">
        <v>390.0</v>
      </c>
      <c r="N119" s="15">
        <v>90.0</v>
      </c>
      <c r="O119" s="15"/>
      <c r="P119" s="14"/>
      <c r="Q119" s="14"/>
      <c r="R119" s="26">
        <v>45986.0</v>
      </c>
      <c r="S119" s="15">
        <v>150.0</v>
      </c>
      <c r="T119" s="15">
        <f>SUM(M119:N119)</f>
        <v>480</v>
      </c>
      <c r="U119" s="15">
        <f>T119-S119</f>
        <v>330</v>
      </c>
      <c r="V119" s="16"/>
      <c r="W119" s="17">
        <v>5.5</v>
      </c>
      <c r="X119" s="15">
        <f t="shared" si="7"/>
        <v>77</v>
      </c>
      <c r="Y119" s="17">
        <v>102.0</v>
      </c>
      <c r="Z119" s="17">
        <v>408.0</v>
      </c>
      <c r="AA119" s="15">
        <v>61.2</v>
      </c>
      <c r="AB119" s="16"/>
      <c r="AC119" s="15">
        <f>IF(OR(L119="", AB119=""), 0,
  IF(L119="Découverte", KPI!$F$2,
    IF(L119="Essentiel", KPI!$F$3,
      IF(L119="Premium", KPI!$F$4, 0)
    )
  )
)</f>
        <v>0</v>
      </c>
      <c r="AD119" s="15">
        <f t="array" ref="AD119">IF(F119="", "", 
  (T119 / 1.21) 
  - IF(L119="Découverte", KPI!$C$2, 
      IF(L119="Essentiel", KPI!$C$3, 
        IF(L119="Premium", KPI!$C$4, 0)
      )
    ) 
  - N(X119) 
  - N(AA119) 
  - N(AC119)
  - IFERROR(INDEX(Stats!$G:$G, MATCH(DATE(YEAR(R119), MONTH(R119), 1), Stats!$A:$A, 0)), 35)
)</f>
        <v>158.5868465</v>
      </c>
      <c r="AE119" s="15"/>
      <c r="AF119" s="18"/>
      <c r="AG119" s="18"/>
      <c r="AH119" s="15" t="s">
        <v>797</v>
      </c>
      <c r="AI119" s="9" t="s">
        <v>798</v>
      </c>
      <c r="AJ119" s="15"/>
      <c r="AK119" s="15"/>
      <c r="AL119" s="19" t="s">
        <v>799</v>
      </c>
      <c r="AM119" s="17"/>
    </row>
    <row r="120">
      <c r="A120" s="9" t="s">
        <v>800</v>
      </c>
      <c r="B120" s="9" t="s">
        <v>801</v>
      </c>
      <c r="C120" s="25">
        <v>3.2497795869E10</v>
      </c>
      <c r="D120" s="11" t="s">
        <v>41</v>
      </c>
      <c r="E120" s="12">
        <v>45940.0</v>
      </c>
      <c r="F120" s="12">
        <v>46039.0</v>
      </c>
      <c r="G120" s="12"/>
      <c r="H120" s="9"/>
      <c r="I120" s="9" t="s">
        <v>802</v>
      </c>
      <c r="J120" s="11" t="s">
        <v>423</v>
      </c>
      <c r="K120" s="9">
        <v>0.0</v>
      </c>
      <c r="L120" s="9" t="s">
        <v>50</v>
      </c>
      <c r="M120" s="15">
        <v>390.0</v>
      </c>
      <c r="N120" s="15">
        <v>30.0</v>
      </c>
      <c r="O120" s="15"/>
      <c r="P120" s="14"/>
      <c r="Q120" s="14"/>
      <c r="R120" s="12">
        <v>45989.0</v>
      </c>
      <c r="S120" s="15">
        <v>150.0</v>
      </c>
      <c r="T120" s="15">
        <v>420.0</v>
      </c>
      <c r="U120" s="15">
        <v>270.0</v>
      </c>
      <c r="V120" s="16"/>
      <c r="W120" s="17">
        <v>4.5</v>
      </c>
      <c r="X120" s="15">
        <f t="shared" si="7"/>
        <v>63</v>
      </c>
      <c r="Y120" s="17">
        <v>56.0</v>
      </c>
      <c r="Z120" s="17">
        <v>224.0</v>
      </c>
      <c r="AA120" s="15">
        <v>33.6</v>
      </c>
      <c r="AB120" s="16"/>
      <c r="AC120" s="15">
        <f>IF(OR(L120="", AB120=""), 0,
  IF(L120="Découverte", KPI!$F$2,
    IF(L120="Essentiel", KPI!$F$3,
      IF(L120="Premium", KPI!$F$4, 0)
    )
  )
)</f>
        <v>0</v>
      </c>
      <c r="AD120" s="15">
        <f t="array" ref="AD120">IF(F120="", "", 
  (T120 / 1.21) 
  - IF(L120="Découverte", KPI!$C$2, 
      IF(L120="Essentiel", KPI!$C$3, 
        IF(L120="Premium", KPI!$C$4, 0)
      )
    ) 
  - N(X120) 
  - N(AA120) 
  - N(AC120)
  - IFERROR(INDEX(Stats!$G:$G, MATCH(DATE(YEAR(R120), MONTH(R120), 1), Stats!$A:$A, 0)), 35)
)</f>
        <v>150.6000696</v>
      </c>
      <c r="AE120" s="15"/>
      <c r="AF120" s="18"/>
      <c r="AG120" s="18"/>
      <c r="AH120" s="15" t="s">
        <v>803</v>
      </c>
      <c r="AI120" s="15" t="s">
        <v>798</v>
      </c>
      <c r="AJ120" s="15"/>
      <c r="AK120" s="15"/>
      <c r="AL120" s="19" t="s">
        <v>804</v>
      </c>
      <c r="AM120" s="17"/>
    </row>
    <row r="121">
      <c r="A121" s="9" t="s">
        <v>805</v>
      </c>
      <c r="B121" s="9" t="s">
        <v>806</v>
      </c>
      <c r="C121" s="25">
        <v>3.2475220557E10</v>
      </c>
      <c r="D121" s="11" t="s">
        <v>41</v>
      </c>
      <c r="E121" s="12">
        <v>45971.0</v>
      </c>
      <c r="F121" s="12">
        <v>46177.0</v>
      </c>
      <c r="G121" s="12"/>
      <c r="H121" s="9"/>
      <c r="I121" s="9" t="s">
        <v>807</v>
      </c>
      <c r="J121" s="11" t="s">
        <v>65</v>
      </c>
      <c r="K121" s="9">
        <v>50.0</v>
      </c>
      <c r="L121" s="9" t="s">
        <v>50</v>
      </c>
      <c r="M121" s="15">
        <v>390.0</v>
      </c>
      <c r="N121" s="15">
        <v>90.0</v>
      </c>
      <c r="O121" s="15"/>
      <c r="P121" s="14"/>
      <c r="Q121" s="14"/>
      <c r="R121" s="12">
        <v>45991.0</v>
      </c>
      <c r="S121" s="15">
        <v>150.0</v>
      </c>
      <c r="T121" s="15">
        <v>480.0</v>
      </c>
      <c r="U121" s="15">
        <v>330.0</v>
      </c>
      <c r="V121" s="16"/>
      <c r="W121" s="17">
        <v>5.0</v>
      </c>
      <c r="X121" s="15">
        <f t="shared" si="7"/>
        <v>70</v>
      </c>
      <c r="Y121" s="17">
        <v>70.0</v>
      </c>
      <c r="Z121" s="17">
        <v>280.0</v>
      </c>
      <c r="AA121" s="15">
        <v>42.0</v>
      </c>
      <c r="AB121" s="16" t="s">
        <v>711</v>
      </c>
      <c r="AC121" s="15">
        <f>IF(OR(L121="", AB121=""), 0,
  IF(L121="Découverte", KPI!$F$2,
    IF(L121="Essentiel", KPI!$F$3,
      IF(L121="Premium", KPI!$F$4, 0)
    )
  )
)</f>
        <v>45</v>
      </c>
      <c r="AD121" s="15">
        <f t="array" ref="AD121">IF(F121="", "", 
  (T121 / 1.21) 
  - IF(L121="Découverte", KPI!$C$2, 
      IF(L121="Essentiel", KPI!$C$3, 
        IF(L121="Premium", KPI!$C$4, 0)
      )
    ) 
  - N(X121) 
  - N(AA121) 
  - N(AC121)
  - IFERROR(INDEX(Stats!$G:$G, MATCH(DATE(YEAR(R121), MONTH(R121), 1), Stats!$A:$A, 0)), 35)
)</f>
        <v>139.7868465</v>
      </c>
      <c r="AE121" s="15"/>
      <c r="AF121" s="18"/>
      <c r="AG121" s="18"/>
      <c r="AH121" s="15" t="s">
        <v>808</v>
      </c>
      <c r="AI121" s="15" t="s">
        <v>576</v>
      </c>
      <c r="AJ121" s="15"/>
      <c r="AK121" s="15"/>
      <c r="AL121" s="19" t="s">
        <v>809</v>
      </c>
      <c r="AM121" s="17"/>
    </row>
    <row r="122">
      <c r="A122" s="9" t="s">
        <v>810</v>
      </c>
      <c r="B122" s="9" t="s">
        <v>811</v>
      </c>
      <c r="C122" s="25">
        <v>33320488439</v>
      </c>
      <c r="D122" s="11" t="s">
        <v>41</v>
      </c>
      <c r="E122" s="26">
        <v>45992.0</v>
      </c>
      <c r="F122" s="26">
        <v>46095.0</v>
      </c>
      <c r="G122" s="12"/>
      <c r="H122" s="9"/>
      <c r="I122" s="9" t="s">
        <v>812</v>
      </c>
      <c r="J122" s="11" t="s">
        <v>423</v>
      </c>
      <c r="K122" s="9">
        <v>60.0</v>
      </c>
      <c r="L122" s="9" t="s">
        <v>50</v>
      </c>
      <c r="M122" s="15">
        <v>449.0</v>
      </c>
      <c r="N122" s="15">
        <v>99.0</v>
      </c>
      <c r="O122" s="15"/>
      <c r="P122" s="14"/>
      <c r="Q122" s="14"/>
      <c r="R122" s="26">
        <v>45992.0</v>
      </c>
      <c r="S122" s="15">
        <v>199.0</v>
      </c>
      <c r="T122" s="15">
        <f>SUM(M122:N122)</f>
        <v>548</v>
      </c>
      <c r="U122" s="15">
        <f>T122-S122</f>
        <v>349</v>
      </c>
      <c r="V122" s="16"/>
      <c r="W122" s="17">
        <v>7.0</v>
      </c>
      <c r="X122" s="15">
        <f t="shared" si="7"/>
        <v>98</v>
      </c>
      <c r="Y122" s="17">
        <v>126.0</v>
      </c>
      <c r="Z122" s="17">
        <v>504.0</v>
      </c>
      <c r="AA122" s="15">
        <v>75.6</v>
      </c>
      <c r="AB122" s="16"/>
      <c r="AC122" s="15">
        <f>IF(OR(L122="", AB122=""), 0,
  IF(L122="Découverte", KPI!$F$2,
    IF(L122="Essentiel", KPI!$F$3,
      IF(L122="Premium", KPI!$F$4, 0)
    )
  )
)</f>
        <v>0</v>
      </c>
      <c r="AD122" s="15">
        <f t="array" ref="AD122">IF(F122="", "", 
  (T122 / 1.21) 
  - IF(L122="Découverte", KPI!$C$2, 
      IF(L122="Essentiel", KPI!$C$3, 
        IF(L122="Premium", KPI!$C$4, 0)
      )
    ) 
  - N(X122) 
  - N(AA122) 
  - N(AC122)
  - IFERROR(INDEX(Stats!$G:$G, MATCH(DATE(YEAR(R122), MONTH(R122), 1), Stats!$A:$A, 0)), 35)
)</f>
        <v>150.2298347</v>
      </c>
      <c r="AE122" s="15"/>
      <c r="AF122" s="18"/>
      <c r="AG122" s="18"/>
      <c r="AH122" s="15" t="s">
        <v>813</v>
      </c>
      <c r="AI122" s="9" t="s">
        <v>814</v>
      </c>
      <c r="AJ122" s="15"/>
      <c r="AK122" s="15"/>
      <c r="AL122" s="19" t="s">
        <v>815</v>
      </c>
      <c r="AM122" s="17"/>
    </row>
    <row r="123">
      <c r="A123" s="9" t="s">
        <v>816</v>
      </c>
      <c r="B123" s="9" t="s">
        <v>817</v>
      </c>
      <c r="C123" s="25">
        <v>3.2479277459E10</v>
      </c>
      <c r="D123" s="11" t="s">
        <v>41</v>
      </c>
      <c r="E123" s="26">
        <v>45944.0</v>
      </c>
      <c r="F123" s="26">
        <v>46109.0</v>
      </c>
      <c r="G123" s="12"/>
      <c r="H123" s="9"/>
      <c r="I123" s="9" t="s">
        <v>818</v>
      </c>
      <c r="J123" s="11" t="s">
        <v>65</v>
      </c>
      <c r="K123" s="9">
        <v>100.0</v>
      </c>
      <c r="L123" s="9" t="s">
        <v>50</v>
      </c>
      <c r="M123" s="15">
        <v>390.0</v>
      </c>
      <c r="N123" s="15">
        <v>90.0</v>
      </c>
      <c r="O123" s="15"/>
      <c r="P123" s="14"/>
      <c r="Q123" s="14"/>
      <c r="R123" s="26">
        <v>45997.0</v>
      </c>
      <c r="S123" s="15">
        <v>150.0</v>
      </c>
      <c r="T123" s="15">
        <v>480.0</v>
      </c>
      <c r="U123" s="15">
        <v>330.0</v>
      </c>
      <c r="V123" s="16"/>
      <c r="W123" s="17">
        <v>3.0</v>
      </c>
      <c r="X123" s="15">
        <f t="shared" si="7"/>
        <v>42</v>
      </c>
      <c r="Y123" s="17">
        <v>28.0</v>
      </c>
      <c r="Z123" s="17">
        <v>112.0</v>
      </c>
      <c r="AA123" s="15">
        <v>16.8</v>
      </c>
      <c r="AB123" s="16"/>
      <c r="AC123" s="15">
        <f>IF(OR(L123="", AB123=""), 0,
  IF(L123="Découverte", KPI!$F$2,
    IF(L123="Essentiel", KPI!$F$3,
      IF(L123="Premium", KPI!$F$4, 0)
    )
  )
)</f>
        <v>0</v>
      </c>
      <c r="AD123" s="15">
        <f t="array" ref="AD123">IF(F123="", "", 
  (T123 / 1.21) 
  - IF(L123="Découverte", KPI!$C$2, 
      IF(L123="Essentiel", KPI!$C$3, 
        IF(L123="Premium", KPI!$C$4, 0)
      )
    ) 
  - N(X123) 
  - N(AA123) 
  - N(AC123)
  - IFERROR(INDEX(Stats!$G:$G, MATCH(DATE(YEAR(R123), MONTH(R123), 1), Stats!$A:$A, 0)), 35)
)</f>
        <v>208.8314876</v>
      </c>
      <c r="AE123" s="15"/>
      <c r="AF123" s="18"/>
      <c r="AG123" s="18"/>
      <c r="AH123" s="15" t="s">
        <v>819</v>
      </c>
      <c r="AI123" s="9" t="s">
        <v>814</v>
      </c>
      <c r="AJ123" s="15"/>
      <c r="AK123" s="15"/>
      <c r="AL123" s="19" t="s">
        <v>820</v>
      </c>
      <c r="AM123" s="17"/>
    </row>
    <row r="124">
      <c r="A124" s="9" t="s">
        <v>821</v>
      </c>
      <c r="B124" s="9" t="s">
        <v>822</v>
      </c>
      <c r="C124" s="25">
        <v>32474602892</v>
      </c>
      <c r="D124" s="11" t="s">
        <v>41</v>
      </c>
      <c r="E124" s="26">
        <v>45986.4875</v>
      </c>
      <c r="F124" s="26">
        <v>46004.0</v>
      </c>
      <c r="G124" s="12"/>
      <c r="H124" s="9"/>
      <c r="I124" s="9" t="s">
        <v>823</v>
      </c>
      <c r="J124" s="11" t="s">
        <v>423</v>
      </c>
      <c r="K124" s="9">
        <v>80.0</v>
      </c>
      <c r="L124" s="9" t="s">
        <v>50</v>
      </c>
      <c r="M124" s="15">
        <v>390.0</v>
      </c>
      <c r="N124" s="15">
        <v>60.0</v>
      </c>
      <c r="O124" s="15"/>
      <c r="P124" s="14"/>
      <c r="Q124" s="14"/>
      <c r="R124" s="26">
        <v>46000.45138888889</v>
      </c>
      <c r="S124" s="15">
        <v>150.0</v>
      </c>
      <c r="T124" s="15">
        <f t="shared" ref="T124:T127" si="10">SUM(M124:N124)</f>
        <v>450</v>
      </c>
      <c r="U124" s="15">
        <f t="shared" ref="U124:U127" si="11">T124-S124</f>
        <v>300</v>
      </c>
      <c r="V124" s="16" t="s">
        <v>380</v>
      </c>
      <c r="W124" s="17">
        <v>5.5</v>
      </c>
      <c r="X124" s="15">
        <f t="shared" si="7"/>
        <v>77</v>
      </c>
      <c r="Y124" s="17">
        <v>78.0</v>
      </c>
      <c r="Z124" s="17">
        <v>312.0</v>
      </c>
      <c r="AA124" s="15">
        <v>46.8</v>
      </c>
      <c r="AB124" s="16"/>
      <c r="AC124" s="15">
        <f>IF(OR(L124="", AB124=""), 0,
  IF(L124="Découverte", KPI!$F$2,
    IF(L124="Essentiel", KPI!$F$3,
      IF(L124="Premium", KPI!$F$4, 0)
    )
  )
)</f>
        <v>0</v>
      </c>
      <c r="AD124" s="15">
        <f t="array" ref="AD124">IF(F124="", "", 
  (T124 / 1.21) 
  - IF(L124="Découverte", KPI!$C$2, 
      IF(L124="Essentiel", KPI!$C$3, 
        IF(L124="Premium", KPI!$C$4, 0)
      )
    ) 
  - N(X124) 
  - N(AA124) 
  - N(AC124)
  - IFERROR(INDEX(Stats!$G:$G, MATCH(DATE(YEAR(R124), MONTH(R124), 1), Stats!$A:$A, 0)), 35)
)</f>
        <v>119.0380992</v>
      </c>
      <c r="AE124" s="15"/>
      <c r="AF124" s="18"/>
      <c r="AG124" s="18"/>
      <c r="AH124" s="15" t="s">
        <v>824</v>
      </c>
      <c r="AI124" s="9" t="s">
        <v>825</v>
      </c>
      <c r="AJ124" s="15" t="s">
        <v>382</v>
      </c>
      <c r="AK124" s="15"/>
      <c r="AL124" s="19" t="s">
        <v>826</v>
      </c>
      <c r="AM124" s="17" t="s">
        <v>827</v>
      </c>
    </row>
    <row r="125">
      <c r="A125" s="9" t="s">
        <v>828</v>
      </c>
      <c r="B125" s="9" t="s">
        <v>829</v>
      </c>
      <c r="C125" s="25">
        <v>32477404589</v>
      </c>
      <c r="D125" s="11" t="s">
        <v>41</v>
      </c>
      <c r="E125" s="26">
        <v>45991.49236111111</v>
      </c>
      <c r="F125" s="26">
        <v>46305.0</v>
      </c>
      <c r="G125" s="12"/>
      <c r="H125" s="9"/>
      <c r="I125" s="9" t="s">
        <v>830</v>
      </c>
      <c r="J125" s="11" t="s">
        <v>65</v>
      </c>
      <c r="K125" s="9">
        <v>150.0</v>
      </c>
      <c r="L125" s="9" t="s">
        <v>50</v>
      </c>
      <c r="M125" s="15">
        <v>390.0</v>
      </c>
      <c r="N125" s="15">
        <v>90.0</v>
      </c>
      <c r="O125" s="15"/>
      <c r="P125" s="14"/>
      <c r="Q125" s="14"/>
      <c r="R125" s="26">
        <v>46000.774305555555</v>
      </c>
      <c r="S125" s="15">
        <v>150.0</v>
      </c>
      <c r="T125" s="15">
        <f t="shared" si="10"/>
        <v>480</v>
      </c>
      <c r="U125" s="15">
        <f t="shared" si="11"/>
        <v>330</v>
      </c>
      <c r="V125" s="16"/>
      <c r="W125" s="17">
        <v>3.5</v>
      </c>
      <c r="X125" s="15">
        <f t="shared" si="7"/>
        <v>49</v>
      </c>
      <c r="Y125" s="17">
        <v>44.0</v>
      </c>
      <c r="Z125" s="17">
        <v>176.0</v>
      </c>
      <c r="AA125" s="15">
        <v>26.4</v>
      </c>
      <c r="AB125" s="16"/>
      <c r="AC125" s="15">
        <f>IF(OR(L125="", AB125=""), 0,
  IF(L125="Découverte", KPI!$F$2,
    IF(L125="Essentiel", KPI!$F$3,
      IF(L125="Premium", KPI!$F$4, 0)
    )
  )
)</f>
        <v>0</v>
      </c>
      <c r="AD125" s="15">
        <f t="array" ref="AD125">IF(F125="", "", 
  (T125 / 1.21) 
  - IF(L125="Découverte", KPI!$C$2, 
      IF(L125="Essentiel", KPI!$C$3, 
        IF(L125="Premium", KPI!$C$4, 0)
      )
    ) 
  - N(X125) 
  - N(AA125) 
  - N(AC125)
  - IFERROR(INDEX(Stats!$G:$G, MATCH(DATE(YEAR(R125), MONTH(R125), 1), Stats!$A:$A, 0)), 35)
)</f>
        <v>192.2314876</v>
      </c>
      <c r="AE125" s="15"/>
      <c r="AF125" s="18"/>
      <c r="AG125" s="18"/>
      <c r="AH125" s="15" t="s">
        <v>831</v>
      </c>
      <c r="AI125" s="9" t="s">
        <v>825</v>
      </c>
      <c r="AJ125" s="15"/>
      <c r="AK125" s="15"/>
      <c r="AL125" s="19" t="s">
        <v>832</v>
      </c>
      <c r="AM125" s="17"/>
    </row>
    <row r="126">
      <c r="A126" s="9" t="s">
        <v>243</v>
      </c>
      <c r="B126" s="9" t="s">
        <v>833</v>
      </c>
      <c r="C126" s="25">
        <v>3.2492542826E10</v>
      </c>
      <c r="D126" s="11" t="s">
        <v>41</v>
      </c>
      <c r="E126" s="27">
        <v>46001.0</v>
      </c>
      <c r="F126" s="27">
        <v>46004.0</v>
      </c>
      <c r="G126" s="12"/>
      <c r="H126" s="9"/>
      <c r="I126" s="9" t="s">
        <v>834</v>
      </c>
      <c r="J126" s="11" t="s">
        <v>835</v>
      </c>
      <c r="K126" s="9">
        <v>50.0</v>
      </c>
      <c r="L126" s="9" t="s">
        <v>43</v>
      </c>
      <c r="M126" s="15">
        <v>0.0</v>
      </c>
      <c r="N126" s="15">
        <v>0.0</v>
      </c>
      <c r="O126" s="15"/>
      <c r="P126" s="14"/>
      <c r="Q126" s="14"/>
      <c r="R126" s="26"/>
      <c r="S126" s="15"/>
      <c r="T126" s="15">
        <f t="shared" si="10"/>
        <v>0</v>
      </c>
      <c r="U126" s="15">
        <f t="shared" si="11"/>
        <v>0</v>
      </c>
      <c r="V126" s="16" t="s">
        <v>380</v>
      </c>
      <c r="W126" s="17">
        <v>4.0</v>
      </c>
      <c r="X126" s="15">
        <f t="shared" si="7"/>
        <v>56</v>
      </c>
      <c r="Y126" s="17">
        <v>56.0</v>
      </c>
      <c r="Z126" s="17">
        <v>224.0</v>
      </c>
      <c r="AA126" s="15">
        <v>33.6</v>
      </c>
      <c r="AB126" s="16"/>
      <c r="AC126" s="15">
        <f>IF(OR(L126="", AB126=""), 0,
  IF(L126="Découverte", KPI!$F$2,
    IF(L126="Essentiel", KPI!$F$3,
      IF(L126="Premium", KPI!$F$4, 0)
    )
  )
)</f>
        <v>0</v>
      </c>
      <c r="AD126" s="15">
        <f t="array" ref="AD126">IF(F126="", "", 
  (T126 / 1.21) 
  - IF(L126="Découverte", KPI!$C$2, 
      IF(L126="Essentiel", KPI!$C$3, 
        IF(L126="Premium", KPI!$C$4, 0)
      )
    ) 
  - N(X126) 
  - N(AA126) 
  - N(AC126)
  - IFERROR(INDEX(Stats!$G:$G, MATCH(DATE(YEAR(R126), MONTH(R126), 1), Stats!$A:$A, 0)), 35)
)</f>
        <v>-217.1</v>
      </c>
      <c r="AE126" s="15"/>
      <c r="AF126" s="24" t="s">
        <v>836</v>
      </c>
      <c r="AG126" s="18"/>
      <c r="AH126" s="15" t="s">
        <v>837</v>
      </c>
      <c r="AI126" s="9" t="s">
        <v>838</v>
      </c>
      <c r="AJ126" s="15" t="s">
        <v>382</v>
      </c>
      <c r="AK126" s="15"/>
      <c r="AL126" s="19"/>
      <c r="AM126" s="17"/>
    </row>
    <row r="127">
      <c r="A127" s="9" t="s">
        <v>839</v>
      </c>
      <c r="B127" s="28" t="s">
        <v>840</v>
      </c>
      <c r="C127" s="25">
        <f>32485598706</f>
        <v>32485598706</v>
      </c>
      <c r="D127" s="29" t="s">
        <v>41</v>
      </c>
      <c r="E127" s="27">
        <v>46001.0</v>
      </c>
      <c r="F127" s="30">
        <v>46145.0</v>
      </c>
      <c r="G127" s="31"/>
      <c r="H127" s="32"/>
      <c r="I127" s="9" t="s">
        <v>431</v>
      </c>
      <c r="J127" s="11" t="s">
        <v>65</v>
      </c>
      <c r="K127" s="9">
        <v>150.0</v>
      </c>
      <c r="L127" s="9" t="s">
        <v>50</v>
      </c>
      <c r="M127" s="15">
        <v>300.0</v>
      </c>
      <c r="N127" s="15">
        <v>0.0</v>
      </c>
      <c r="O127" s="33"/>
      <c r="P127" s="34"/>
      <c r="Q127" s="34"/>
      <c r="R127" s="35"/>
      <c r="S127" s="33"/>
      <c r="T127" s="15">
        <f t="shared" si="10"/>
        <v>300</v>
      </c>
      <c r="U127" s="15">
        <f t="shared" si="11"/>
        <v>300</v>
      </c>
      <c r="V127" s="16" t="s">
        <v>380</v>
      </c>
      <c r="W127" s="17">
        <v>2.5</v>
      </c>
      <c r="X127" s="15">
        <f t="shared" si="7"/>
        <v>35</v>
      </c>
      <c r="Y127" s="17">
        <v>7.0</v>
      </c>
      <c r="Z127" s="36">
        <v>28.0</v>
      </c>
      <c r="AA127" s="15">
        <v>4.2</v>
      </c>
      <c r="AB127" s="37"/>
      <c r="AC127" s="15">
        <f>IF(OR(L127="", AB127=""), 0,
  IF(L127="Découverte", KPI!$F$2,
    IF(L127="Essentiel", KPI!$F$3,
      IF(L127="Premium", KPI!$F$4, 0)
    )
  )
)</f>
        <v>0</v>
      </c>
      <c r="AD127" s="15">
        <f t="array" ref="AD127">IF(F127="", "", 
  (T127 / 1.21) 
  - IF(L127="Découverte", KPI!$C$2, 
      IF(L127="Essentiel", KPI!$C$3, 
        IF(L127="Premium", KPI!$C$4, 0)
      )
    ) 
  - N(X127) 
  - N(AA127) 
  - N(AC127)
  - IFERROR(INDEX(Stats!$G:$G, MATCH(DATE(YEAR(R127), MONTH(R127), 1), Stats!$A:$A, 0)), 35)
)</f>
        <v>127.4838843</v>
      </c>
      <c r="AE127" s="33"/>
      <c r="AF127" s="37"/>
      <c r="AG127" s="38"/>
      <c r="AH127" s="39" t="s">
        <v>841</v>
      </c>
      <c r="AI127" s="9" t="s">
        <v>842</v>
      </c>
      <c r="AJ127" s="38"/>
      <c r="AK127" s="33"/>
      <c r="AL127" s="40"/>
      <c r="AM127" s="41"/>
    </row>
    <row r="128">
      <c r="A128" s="9" t="s">
        <v>843</v>
      </c>
      <c r="B128" s="39" t="s">
        <v>844</v>
      </c>
      <c r="C128" s="25">
        <v>32485679722</v>
      </c>
      <c r="D128" s="29" t="s">
        <v>41</v>
      </c>
      <c r="E128" s="27">
        <v>45997.57083333333</v>
      </c>
      <c r="F128" s="30">
        <v>46249.0</v>
      </c>
      <c r="G128" s="31"/>
      <c r="H128" s="32"/>
      <c r="I128" s="9" t="s">
        <v>845</v>
      </c>
      <c r="J128" s="11" t="s">
        <v>65</v>
      </c>
      <c r="K128" s="9">
        <v>140.0</v>
      </c>
      <c r="L128" s="9" t="s">
        <v>43</v>
      </c>
      <c r="M128" s="15">
        <v>499.0</v>
      </c>
      <c r="N128" s="15">
        <v>99.0</v>
      </c>
      <c r="O128" s="33"/>
      <c r="P128" s="34"/>
      <c r="Q128" s="34"/>
      <c r="R128" s="26">
        <v>46008.595138888886</v>
      </c>
      <c r="S128" s="42">
        <v>198.0</v>
      </c>
      <c r="T128" s="15">
        <v>598.0</v>
      </c>
      <c r="U128" s="15">
        <v>400.0</v>
      </c>
      <c r="V128" s="16" t="s">
        <v>380</v>
      </c>
      <c r="W128" s="17">
        <v>2.5</v>
      </c>
      <c r="X128" s="15">
        <f t="shared" si="7"/>
        <v>35</v>
      </c>
      <c r="Y128" s="17">
        <v>16.0</v>
      </c>
      <c r="Z128" s="36">
        <v>64.0</v>
      </c>
      <c r="AA128" s="15">
        <v>9.6</v>
      </c>
      <c r="AB128" s="37"/>
      <c r="AC128" s="15">
        <f>IF(OR(L128="", AB128=""), 0,
  IF(L128="Découverte", KPI!$F$2,
    IF(L128="Essentiel", KPI!$F$3,
      IF(L128="Premium", KPI!$F$4, 0)
    )
  )
)</f>
        <v>0</v>
      </c>
      <c r="AD128" s="15">
        <f t="array" ref="AD128">IF(F128="", "", 
  (T128 / 1.21) 
  - IF(L128="Découverte", KPI!$C$2, 
      IF(L128="Essentiel", KPI!$C$3, 
        IF(L128="Premium", KPI!$C$4, 0)
      )
    ) 
  - N(X128) 
  - N(AA128) 
  - N(AC128)
  - IFERROR(INDEX(Stats!$G:$G, MATCH(DATE(YEAR(R128), MONTH(R128), 1), Stats!$A:$A, 0)), 35)
)</f>
        <v>274.3021488</v>
      </c>
      <c r="AE128" s="33"/>
      <c r="AF128" s="37"/>
      <c r="AG128" s="38"/>
      <c r="AH128" s="39" t="s">
        <v>846</v>
      </c>
      <c r="AI128" s="9" t="s">
        <v>847</v>
      </c>
      <c r="AJ128" s="38"/>
      <c r="AK128" s="33"/>
      <c r="AL128" s="43" t="s">
        <v>848</v>
      </c>
      <c r="AM128" s="41"/>
    </row>
    <row r="129">
      <c r="A129" s="9" t="s">
        <v>849</v>
      </c>
      <c r="B129" s="39" t="s">
        <v>850</v>
      </c>
      <c r="C129" s="25">
        <v>32470641370</v>
      </c>
      <c r="D129" s="29" t="s">
        <v>41</v>
      </c>
      <c r="E129" s="27">
        <v>45987.85833333333</v>
      </c>
      <c r="F129" s="30">
        <v>46214.0</v>
      </c>
      <c r="G129" s="31"/>
      <c r="H129" s="32"/>
      <c r="I129" s="9" t="s">
        <v>851</v>
      </c>
      <c r="J129" s="11" t="s">
        <v>423</v>
      </c>
      <c r="K129" s="9">
        <v>50.0</v>
      </c>
      <c r="L129" s="9" t="s">
        <v>66</v>
      </c>
      <c r="M129" s="15">
        <v>290.0</v>
      </c>
      <c r="N129" s="15">
        <v>90.0</v>
      </c>
      <c r="O129" s="33"/>
      <c r="P129" s="34"/>
      <c r="Q129" s="34"/>
      <c r="R129" s="26">
        <v>46008.845138888886</v>
      </c>
      <c r="S129" s="42">
        <v>200.0</v>
      </c>
      <c r="T129" s="15">
        <v>380.0</v>
      </c>
      <c r="U129" s="15">
        <v>180.0</v>
      </c>
      <c r="V129" s="16" t="s">
        <v>380</v>
      </c>
      <c r="W129" s="17">
        <v>6.0</v>
      </c>
      <c r="X129" s="15">
        <f t="shared" si="7"/>
        <v>84</v>
      </c>
      <c r="Y129" s="17">
        <v>94.0</v>
      </c>
      <c r="Z129" s="36">
        <v>376.0</v>
      </c>
      <c r="AA129" s="15">
        <v>56.4</v>
      </c>
      <c r="AB129" s="37"/>
      <c r="AC129" s="15">
        <f>IF(OR(L129="", AB129=""), 0,
  IF(L129="Découverte", KPI!$F$2,
    IF(L129="Essentiel", KPI!$F$3,
      IF(L129="Premium", KPI!$F$4, 0)
    )
  )
)</f>
        <v>0</v>
      </c>
      <c r="AD129" s="15">
        <f t="array" ref="AD129">IF(F129="", "", 
  (T129 / 1.21) 
  - IF(L129="Découverte", KPI!$C$2, 
      IF(L129="Essentiel", KPI!$C$3, 
        IF(L129="Premium", KPI!$C$4, 0)
      )
    ) 
  - N(X129) 
  - N(AA129) 
  - N(AC129)
  - IFERROR(INDEX(Stats!$G:$G, MATCH(DATE(YEAR(R129), MONTH(R129), 1), Stats!$A:$A, 0)), 35)
)</f>
        <v>67.7168595</v>
      </c>
      <c r="AE129" s="33"/>
      <c r="AF129" s="37"/>
      <c r="AG129" s="38"/>
      <c r="AH129" s="39" t="s">
        <v>852</v>
      </c>
      <c r="AI129" s="9" t="s">
        <v>847</v>
      </c>
      <c r="AJ129" s="38"/>
      <c r="AK129" s="33"/>
      <c r="AL129" s="43" t="s">
        <v>853</v>
      </c>
      <c r="AM129" s="41"/>
    </row>
    <row r="130">
      <c r="A130" s="9" t="s">
        <v>854</v>
      </c>
      <c r="B130" s="39" t="s">
        <v>855</v>
      </c>
      <c r="C130" s="25" t="s">
        <v>856</v>
      </c>
      <c r="D130" s="29" t="s">
        <v>41</v>
      </c>
      <c r="E130" s="27">
        <v>45974.0</v>
      </c>
      <c r="F130" s="30">
        <v>46014.0</v>
      </c>
      <c r="G130" s="44">
        <v>0.5833333333333334</v>
      </c>
      <c r="H130" s="44">
        <v>0.75</v>
      </c>
      <c r="I130" s="9" t="s">
        <v>857</v>
      </c>
      <c r="J130" s="11" t="s">
        <v>42</v>
      </c>
      <c r="K130" s="9"/>
      <c r="L130" s="9" t="s">
        <v>43</v>
      </c>
      <c r="M130" s="15">
        <v>726.0</v>
      </c>
      <c r="N130" s="15">
        <v>0.0</v>
      </c>
      <c r="O130" s="33"/>
      <c r="P130" s="34"/>
      <c r="Q130" s="34"/>
      <c r="R130" s="45"/>
      <c r="S130" s="42"/>
      <c r="T130" s="15">
        <v>726.0</v>
      </c>
      <c r="U130" s="15">
        <f>T130</f>
        <v>726</v>
      </c>
      <c r="V130" s="16" t="s">
        <v>380</v>
      </c>
      <c r="W130" s="17">
        <v>8.0</v>
      </c>
      <c r="X130" s="15">
        <f t="shared" si="7"/>
        <v>112</v>
      </c>
      <c r="Y130" s="17">
        <v>95.0</v>
      </c>
      <c r="Z130" s="36">
        <v>190.0</v>
      </c>
      <c r="AA130" s="15">
        <f>0.15*Z130</f>
        <v>28.5</v>
      </c>
      <c r="AB130" s="37"/>
      <c r="AC130" s="15">
        <f>IF(OR(L130="", AB130=""), 0,
  IF(L130="Découverte", KPI!$F$2,
    IF(L130="Essentiel", KPI!$F$3,
      IF(L130="Premium", KPI!$F$4, 0)
    )
  )
)</f>
        <v>0</v>
      </c>
      <c r="AD130" s="15">
        <f t="array" ref="AD130">IF(F130="", "", 
  (T130 / 1.21) 
  - IF(L130="Découverte", KPI!$C$2, 
      IF(L130="Essentiel", KPI!$C$3, 
        IF(L130="Premium", KPI!$C$4, 0)
      )
    ) 
  - N(X130) 
  - N(AA130) 
  - N(AC130)
  - IFERROR(INDEX(Stats!$G:$G, MATCH(DATE(YEAR(R130), MONTH(R130), 1), Stats!$A:$A, 0)), 35)
)</f>
        <v>332</v>
      </c>
      <c r="AE130" s="33"/>
      <c r="AF130" s="37"/>
      <c r="AG130" s="38"/>
      <c r="AH130" s="39" t="s">
        <v>858</v>
      </c>
      <c r="AI130" s="9" t="s">
        <v>859</v>
      </c>
      <c r="AJ130" s="39" t="s">
        <v>382</v>
      </c>
      <c r="AK130" s="33"/>
      <c r="AL130" s="43"/>
      <c r="AM130" s="36" t="s">
        <v>860</v>
      </c>
    </row>
    <row r="131">
      <c r="A131" s="9" t="s">
        <v>861</v>
      </c>
      <c r="B131" s="39" t="s">
        <v>862</v>
      </c>
      <c r="C131" s="25">
        <v>32478475782</v>
      </c>
      <c r="D131" s="29" t="s">
        <v>41</v>
      </c>
      <c r="E131" s="27">
        <v>46005.27013888889</v>
      </c>
      <c r="F131" s="30">
        <v>46235.0</v>
      </c>
      <c r="G131" s="44"/>
      <c r="H131" s="44"/>
      <c r="I131" s="9" t="s">
        <v>863</v>
      </c>
      <c r="J131" s="11" t="s">
        <v>65</v>
      </c>
      <c r="K131" s="9">
        <v>200.0</v>
      </c>
      <c r="L131" s="9" t="s">
        <v>43</v>
      </c>
      <c r="M131" s="15">
        <v>490.0</v>
      </c>
      <c r="N131" s="15">
        <v>90.0</v>
      </c>
      <c r="O131" s="33"/>
      <c r="P131" s="34"/>
      <c r="Q131" s="34"/>
      <c r="R131" s="26">
        <v>46011.873611111114</v>
      </c>
      <c r="S131" s="42">
        <v>180.0</v>
      </c>
      <c r="T131" s="15">
        <v>580.0</v>
      </c>
      <c r="U131" s="15">
        <v>400.0</v>
      </c>
      <c r="V131" s="16" t="s">
        <v>380</v>
      </c>
      <c r="W131" s="17">
        <v>4.0</v>
      </c>
      <c r="X131" s="15">
        <f t="shared" si="7"/>
        <v>56</v>
      </c>
      <c r="Y131" s="17">
        <v>54.0</v>
      </c>
      <c r="Z131" s="36">
        <v>216.0</v>
      </c>
      <c r="AA131" s="15">
        <v>32.4</v>
      </c>
      <c r="AB131" s="37"/>
      <c r="AC131" s="15">
        <f>IF(OR(L131="", AB131=""), 0,
  IF(L131="Découverte", KPI!$F$2,
    IF(L131="Essentiel", KPI!$F$3,
      IF(L131="Premium", KPI!$F$4, 0)
    )
  )
)</f>
        <v>0</v>
      </c>
      <c r="AD131" s="15">
        <f t="array" ref="AD131">IF(F131="", "", 
  (T131 / 1.21) 
  - IF(L131="Découverte", KPI!$C$2, 
      IF(L131="Essentiel", KPI!$C$3, 
        IF(L131="Premium", KPI!$C$4, 0)
      )
    ) 
  - N(X131) 
  - N(AA131) 
  - N(AC131)
  - IFERROR(INDEX(Stats!$G:$G, MATCH(DATE(YEAR(R131), MONTH(R131), 1), Stats!$A:$A, 0)), 35)
)</f>
        <v>215.6261157</v>
      </c>
      <c r="AE131" s="33"/>
      <c r="AF131" s="37"/>
      <c r="AG131" s="38"/>
      <c r="AH131" s="39" t="s">
        <v>864</v>
      </c>
      <c r="AI131" s="9" t="s">
        <v>865</v>
      </c>
      <c r="AJ131" s="38"/>
      <c r="AK131" s="33"/>
      <c r="AL131" s="43" t="s">
        <v>866</v>
      </c>
      <c r="AM131" s="41"/>
    </row>
    <row r="132">
      <c r="A132" s="9" t="s">
        <v>867</v>
      </c>
      <c r="B132" s="39" t="s">
        <v>868</v>
      </c>
      <c r="C132" s="25">
        <v>33782416652</v>
      </c>
      <c r="D132" s="29" t="s">
        <v>41</v>
      </c>
      <c r="E132" s="27">
        <v>45939.59652777778</v>
      </c>
      <c r="F132" s="30">
        <v>46228.0</v>
      </c>
      <c r="G132" s="44"/>
      <c r="H132" s="44"/>
      <c r="I132" s="9" t="s">
        <v>869</v>
      </c>
      <c r="J132" s="11" t="s">
        <v>65</v>
      </c>
      <c r="K132" s="9">
        <v>80.0</v>
      </c>
      <c r="L132" s="9" t="s">
        <v>50</v>
      </c>
      <c r="M132" s="15">
        <v>390.0</v>
      </c>
      <c r="N132" s="15">
        <v>110.0</v>
      </c>
      <c r="O132" s="33"/>
      <c r="P132" s="34"/>
      <c r="Q132" s="34"/>
      <c r="R132" s="26">
        <v>46014.74166666667</v>
      </c>
      <c r="S132" s="42">
        <v>200.0</v>
      </c>
      <c r="T132" s="15">
        <v>500.0</v>
      </c>
      <c r="U132" s="15">
        <v>300.0</v>
      </c>
      <c r="V132" s="16"/>
      <c r="W132" s="17">
        <v>6.0</v>
      </c>
      <c r="X132" s="15">
        <f t="shared" si="7"/>
        <v>84</v>
      </c>
      <c r="Y132" s="17">
        <v>98.0</v>
      </c>
      <c r="Z132" s="36">
        <v>392.0</v>
      </c>
      <c r="AA132" s="15">
        <v>58.8</v>
      </c>
      <c r="AB132" s="37"/>
      <c r="AC132" s="15">
        <f>IF(OR(L132="", AB132=""), 0,
  IF(L132="Découverte", KPI!$F$2,
    IF(L132="Essentiel", KPI!$F$3,
      IF(L132="Premium", KPI!$F$4, 0)
    )
  )
)</f>
        <v>0</v>
      </c>
      <c r="AD132" s="15">
        <f t="array" ref="AD132">IF(F132="", "", 
  (T132 / 1.21) 
  - IF(L132="Découverte", KPI!$C$2, 
      IF(L132="Essentiel", KPI!$C$3, 
        IF(L132="Premium", KPI!$C$4, 0)
      )
    ) 
  - N(X132) 
  - N(AA132) 
  - N(AC132)
  - IFERROR(INDEX(Stats!$G:$G, MATCH(DATE(YEAR(R132), MONTH(R132), 1), Stats!$A:$A, 0)), 35)
)</f>
        <v>141.3604132</v>
      </c>
      <c r="AE132" s="33"/>
      <c r="AF132" s="37"/>
      <c r="AG132" s="38"/>
      <c r="AH132" s="39" t="s">
        <v>870</v>
      </c>
      <c r="AI132" s="9" t="s">
        <v>871</v>
      </c>
      <c r="AJ132" s="38"/>
      <c r="AK132" s="33"/>
      <c r="AL132" s="43" t="s">
        <v>872</v>
      </c>
      <c r="AM132" s="41"/>
    </row>
    <row r="133">
      <c r="A133" s="9" t="s">
        <v>873</v>
      </c>
      <c r="B133" s="39" t="s">
        <v>874</v>
      </c>
      <c r="C133" s="25">
        <v>32484828057</v>
      </c>
      <c r="D133" s="29" t="s">
        <v>41</v>
      </c>
      <c r="E133" s="27">
        <v>46011.8375</v>
      </c>
      <c r="F133" s="30">
        <v>46178.0</v>
      </c>
      <c r="G133" s="44"/>
      <c r="H133" s="44"/>
      <c r="I133" s="9" t="s">
        <v>678</v>
      </c>
      <c r="J133" s="11" t="s">
        <v>65</v>
      </c>
      <c r="K133" s="9">
        <v>200.0</v>
      </c>
      <c r="L133" s="9" t="s">
        <v>43</v>
      </c>
      <c r="M133" s="15">
        <v>490.0</v>
      </c>
      <c r="N133" s="15">
        <v>90.0</v>
      </c>
      <c r="O133" s="33"/>
      <c r="P133" s="34"/>
      <c r="Q133" s="34"/>
      <c r="R133" s="26">
        <v>46014.90833333333</v>
      </c>
      <c r="S133" s="42">
        <v>180.0</v>
      </c>
      <c r="T133" s="15">
        <v>580.0</v>
      </c>
      <c r="U133" s="15">
        <v>400.0</v>
      </c>
      <c r="V133" s="16"/>
      <c r="W133" s="17">
        <v>5.0</v>
      </c>
      <c r="X133" s="15">
        <f t="shared" si="7"/>
        <v>70</v>
      </c>
      <c r="Y133" s="17">
        <v>51.0</v>
      </c>
      <c r="Z133" s="36">
        <v>204.0</v>
      </c>
      <c r="AA133" s="15">
        <v>30.6</v>
      </c>
      <c r="AB133" s="46" t="s">
        <v>875</v>
      </c>
      <c r="AC133" s="15">
        <f>IF(OR(L133="", AB133=""), 0,
  IF(L133="Découverte", KPI!$F$2,
    IF(L133="Essentiel", KPI!$F$3,
      IF(L133="Premium", KPI!$F$4, 0)
    )
  )
)</f>
        <v>55</v>
      </c>
      <c r="AD133" s="15">
        <f t="array" ref="AD133">IF(F133="", "", 
  (T133 / 1.21) 
  - IF(L133="Découverte", KPI!$C$2, 
      IF(L133="Essentiel", KPI!$C$3, 
        IF(L133="Premium", KPI!$C$4, 0)
      )
    ) 
  - N(X133) 
  - N(AA133) 
  - N(AC133)
  - IFERROR(INDEX(Stats!$G:$G, MATCH(DATE(YEAR(R133), MONTH(R133), 1), Stats!$A:$A, 0)), 35)
)</f>
        <v>148.4261157</v>
      </c>
      <c r="AE133" s="33"/>
      <c r="AF133" s="37"/>
      <c r="AG133" s="38"/>
      <c r="AH133" s="39" t="s">
        <v>876</v>
      </c>
      <c r="AI133" s="9" t="s">
        <v>877</v>
      </c>
      <c r="AJ133" s="38"/>
      <c r="AK133" s="33"/>
      <c r="AL133" s="43" t="s">
        <v>878</v>
      </c>
      <c r="AM133" s="41"/>
    </row>
    <row r="134">
      <c r="A134" s="9" t="s">
        <v>879</v>
      </c>
      <c r="B134" s="39" t="s">
        <v>880</v>
      </c>
      <c r="C134" s="25">
        <v>32485330038</v>
      </c>
      <c r="D134" s="29" t="s">
        <v>41</v>
      </c>
      <c r="E134" s="27">
        <v>46014.686111111114</v>
      </c>
      <c r="F134" s="30">
        <v>46221.0</v>
      </c>
      <c r="G134" s="44"/>
      <c r="H134" s="44"/>
      <c r="I134" s="9" t="s">
        <v>881</v>
      </c>
      <c r="J134" s="11" t="s">
        <v>65</v>
      </c>
      <c r="K134" s="9">
        <v>100.0</v>
      </c>
      <c r="L134" s="9" t="s">
        <v>50</v>
      </c>
      <c r="M134" s="15">
        <v>440.0</v>
      </c>
      <c r="N134" s="15">
        <v>90.0</v>
      </c>
      <c r="O134" s="33"/>
      <c r="P134" s="34"/>
      <c r="Q134" s="34"/>
      <c r="R134" s="26">
        <v>46015.65833333333</v>
      </c>
      <c r="S134" s="42">
        <v>180.0</v>
      </c>
      <c r="T134" s="15">
        <v>530.0</v>
      </c>
      <c r="U134" s="15">
        <v>350.0</v>
      </c>
      <c r="V134" s="16"/>
      <c r="W134" s="17">
        <v>4.0</v>
      </c>
      <c r="X134" s="15">
        <f t="shared" si="7"/>
        <v>56</v>
      </c>
      <c r="Y134" s="17">
        <v>51.0</v>
      </c>
      <c r="Z134" s="36">
        <v>204.0</v>
      </c>
      <c r="AA134" s="15">
        <v>30.6</v>
      </c>
      <c r="AB134" s="46" t="s">
        <v>875</v>
      </c>
      <c r="AC134" s="15">
        <f>IF(OR(L134="", AB134=""), 0,
  IF(L134="Découverte", KPI!$F$2,
    IF(L134="Essentiel", KPI!$F$3,
      IF(L134="Premium", KPI!$F$4, 0)
    )
  )
)</f>
        <v>45</v>
      </c>
      <c r="AD134" s="15">
        <f t="array" ref="AD134">IF(F134="", "", 
  (T134 / 1.21) 
  - IF(L134="Découverte", KPI!$C$2, 
      IF(L134="Essentiel", KPI!$C$3, 
        IF(L134="Premium", KPI!$C$4, 0)
      )
    ) 
  - N(X134) 
  - N(AA134) 
  - N(AC134)
  - IFERROR(INDEX(Stats!$G:$G, MATCH(DATE(YEAR(R134), MONTH(R134), 1), Stats!$A:$A, 0)), 35)
)</f>
        <v>177.3538017</v>
      </c>
      <c r="AE134" s="33"/>
      <c r="AF134" s="37"/>
      <c r="AG134" s="38"/>
      <c r="AH134" s="39" t="s">
        <v>882</v>
      </c>
      <c r="AI134" s="9" t="s">
        <v>883</v>
      </c>
      <c r="AJ134" s="38"/>
      <c r="AK134" s="33"/>
      <c r="AL134" s="43" t="s">
        <v>884</v>
      </c>
      <c r="AM134" s="41"/>
    </row>
    <row r="135">
      <c r="A135" s="9" t="s">
        <v>885</v>
      </c>
      <c r="B135" s="39" t="s">
        <v>886</v>
      </c>
      <c r="C135" s="25">
        <v>32478916730</v>
      </c>
      <c r="D135" s="29" t="s">
        <v>41</v>
      </c>
      <c r="E135" s="27">
        <v>46013.47083333333</v>
      </c>
      <c r="F135" s="30">
        <v>46067.0</v>
      </c>
      <c r="G135" s="44"/>
      <c r="H135" s="44"/>
      <c r="I135" s="9" t="s">
        <v>431</v>
      </c>
      <c r="J135" s="11" t="s">
        <v>65</v>
      </c>
      <c r="K135" s="9">
        <v>100.0</v>
      </c>
      <c r="L135" s="9" t="s">
        <v>50</v>
      </c>
      <c r="M135" s="15">
        <v>440.0</v>
      </c>
      <c r="N135" s="15">
        <v>0.0</v>
      </c>
      <c r="O135" s="33"/>
      <c r="P135" s="34"/>
      <c r="Q135" s="34"/>
      <c r="R135" s="26">
        <v>46013.0</v>
      </c>
      <c r="S135" s="42">
        <v>190.0</v>
      </c>
      <c r="T135" s="15">
        <v>440.0</v>
      </c>
      <c r="U135" s="15">
        <v>250.0</v>
      </c>
      <c r="V135" s="16"/>
      <c r="W135" s="17">
        <v>2.5</v>
      </c>
      <c r="X135" s="15">
        <f t="shared" si="7"/>
        <v>35</v>
      </c>
      <c r="Y135" s="17">
        <v>7.0</v>
      </c>
      <c r="Z135" s="36">
        <v>28.0</v>
      </c>
      <c r="AA135" s="15">
        <v>4.2</v>
      </c>
      <c r="AB135" s="46"/>
      <c r="AC135" s="15">
        <f>IF(OR(L135="", AB135=""), 0,
  IF(L135="Découverte", KPI!$F$2,
    IF(L135="Essentiel", KPI!$F$3,
      IF(L135="Premium", KPI!$F$4, 0)
    )
  )
)</f>
        <v>0</v>
      </c>
      <c r="AD135" s="15">
        <f t="array" ref="AD135">IF(F135="", "", 
  (T135 / 1.21) 
  - IF(L135="Découverte", KPI!$C$2, 
      IF(L135="Essentiel", KPI!$C$3, 
        IF(L135="Premium", KPI!$C$4, 0)
      )
    ) 
  - N(X135) 
  - N(AA135) 
  - N(AC135)
  - IFERROR(INDEX(Stats!$G:$G, MATCH(DATE(YEAR(R135), MONTH(R135), 1), Stats!$A:$A, 0)), 35)
)</f>
        <v>195.3736364</v>
      </c>
      <c r="AE135" s="33"/>
      <c r="AF135" s="37"/>
      <c r="AG135" s="38"/>
      <c r="AH135" s="39" t="s">
        <v>887</v>
      </c>
      <c r="AI135" s="9" t="s">
        <v>888</v>
      </c>
      <c r="AJ135" s="38"/>
      <c r="AK135" s="33"/>
      <c r="AL135" s="43" t="s">
        <v>889</v>
      </c>
      <c r="AM135" s="41"/>
    </row>
    <row r="136">
      <c r="A136" s="9" t="s">
        <v>890</v>
      </c>
      <c r="B136" s="39" t="s">
        <v>891</v>
      </c>
      <c r="C136" s="25">
        <v>32483059358</v>
      </c>
      <c r="D136" s="29" t="s">
        <v>41</v>
      </c>
      <c r="E136" s="27">
        <v>46027.32430555556</v>
      </c>
      <c r="F136" s="30">
        <v>46046.0</v>
      </c>
      <c r="G136" s="44"/>
      <c r="H136" s="44"/>
      <c r="I136" s="9" t="s">
        <v>892</v>
      </c>
      <c r="J136" s="11" t="s">
        <v>423</v>
      </c>
      <c r="K136" s="9">
        <v>70.0</v>
      </c>
      <c r="L136" s="9" t="s">
        <v>50</v>
      </c>
      <c r="M136" s="15">
        <v>390.0</v>
      </c>
      <c r="N136" s="15"/>
      <c r="O136" s="33"/>
      <c r="P136" s="34"/>
      <c r="Q136" s="34"/>
      <c r="R136" s="26">
        <v>46027.0</v>
      </c>
      <c r="S136" s="42">
        <v>180.0</v>
      </c>
      <c r="T136" s="15">
        <v>390.0</v>
      </c>
      <c r="U136" s="15">
        <v>210.0</v>
      </c>
      <c r="V136" s="16"/>
      <c r="W136" s="17">
        <v>3.0</v>
      </c>
      <c r="X136" s="15">
        <f t="shared" si="7"/>
        <v>42</v>
      </c>
      <c r="Y136" s="17">
        <v>13.0</v>
      </c>
      <c r="Z136" s="36">
        <v>52.0</v>
      </c>
      <c r="AA136" s="15">
        <v>7.8</v>
      </c>
      <c r="AB136" s="46"/>
      <c r="AC136" s="15">
        <f>IF(OR(L136="", AB136=""), 0,
  IF(L136="Découverte", KPI!$F$2,
    IF(L136="Essentiel", KPI!$F$3,
      IF(L136="Premium", KPI!$F$4, 0)
    )
  )
)</f>
        <v>0</v>
      </c>
      <c r="AD136" s="15">
        <f t="array" ref="AD136">IF(F136="", "", 
  (T136 / 1.21) 
  - IF(L136="Découverte", KPI!$C$2, 
      IF(L136="Essentiel", KPI!$C$3, 
        IF(L136="Premium", KPI!$C$4, 0)
      )
    ) 
  - N(X136) 
  - N(AA136) 
  - N(AC136)
  - IFERROR(INDEX(Stats!$G:$G, MATCH(DATE(YEAR(R136), MONTH(R136), 1), Stats!$A:$A, 0)), 35)
)</f>
        <v>226.2640496</v>
      </c>
      <c r="AE136" s="33"/>
      <c r="AF136" s="37"/>
      <c r="AG136" s="38"/>
      <c r="AH136" s="39" t="s">
        <v>893</v>
      </c>
      <c r="AI136" s="9" t="s">
        <v>894</v>
      </c>
      <c r="AJ136" s="38"/>
      <c r="AK136" s="33"/>
      <c r="AL136" s="43" t="s">
        <v>895</v>
      </c>
      <c r="AM136" s="41"/>
    </row>
    <row r="137">
      <c r="A137" s="9" t="s">
        <v>896</v>
      </c>
      <c r="B137" s="39" t="s">
        <v>897</v>
      </c>
      <c r="C137" s="25">
        <v>32477052070</v>
      </c>
      <c r="D137" s="29" t="s">
        <v>41</v>
      </c>
      <c r="E137" s="27">
        <v>45986.8375</v>
      </c>
      <c r="F137" s="30">
        <v>46039.0</v>
      </c>
      <c r="G137" s="44"/>
      <c r="H137" s="44"/>
      <c r="I137" s="9" t="s">
        <v>898</v>
      </c>
      <c r="J137" s="11" t="s">
        <v>423</v>
      </c>
      <c r="K137" s="9">
        <v>50.0</v>
      </c>
      <c r="L137" s="9" t="s">
        <v>66</v>
      </c>
      <c r="M137" s="15">
        <v>290.0</v>
      </c>
      <c r="N137" s="15">
        <v>50.0</v>
      </c>
      <c r="O137" s="33"/>
      <c r="P137" s="34"/>
      <c r="Q137" s="34"/>
      <c r="R137" s="26">
        <v>46027.74166666667</v>
      </c>
      <c r="S137" s="42">
        <v>150.0</v>
      </c>
      <c r="T137" s="15">
        <v>340.0</v>
      </c>
      <c r="U137" s="15">
        <v>190.0</v>
      </c>
      <c r="V137" s="16"/>
      <c r="W137" s="17">
        <v>4.5</v>
      </c>
      <c r="X137" s="15">
        <f t="shared" si="7"/>
        <v>63</v>
      </c>
      <c r="Y137" s="17">
        <v>57.0</v>
      </c>
      <c r="Z137" s="36">
        <v>228.0</v>
      </c>
      <c r="AA137" s="15">
        <v>34.2</v>
      </c>
      <c r="AB137" s="46" t="s">
        <v>875</v>
      </c>
      <c r="AC137" s="15">
        <f>IF(OR(L137="", AB137=""), 0,
  IF(L137="Découverte", KPI!$F$2,
    IF(L137="Essentiel", KPI!$F$3,
      IF(L137="Premium", KPI!$F$4, 0)
    )
  )
)</f>
        <v>35</v>
      </c>
      <c r="AD137" s="15">
        <f t="array" ref="AD137">IF(F137="", "", 
  (T137 / 1.21) 
  - IF(L137="Découverte", KPI!$C$2, 
      IF(L137="Essentiel", KPI!$C$3, 
        IF(L137="Premium", KPI!$C$4, 0)
      )
    ) 
  - N(X137) 
  - N(AA137) 
  - N(AC137)
  - IFERROR(INDEX(Stats!$G:$G, MATCH(DATE(YEAR(R137), MONTH(R137), 1), Stats!$A:$A, 0)), 35)
)</f>
        <v>125.6717355</v>
      </c>
      <c r="AE137" s="33"/>
      <c r="AF137" s="37"/>
      <c r="AG137" s="38"/>
      <c r="AH137" s="39" t="s">
        <v>899</v>
      </c>
      <c r="AI137" s="9" t="s">
        <v>894</v>
      </c>
      <c r="AJ137" s="38"/>
      <c r="AK137" s="33"/>
      <c r="AL137" s="43" t="s">
        <v>427</v>
      </c>
      <c r="AM137" s="41"/>
    </row>
    <row r="138">
      <c r="A138" s="9" t="s">
        <v>900</v>
      </c>
      <c r="B138" s="39" t="s">
        <v>901</v>
      </c>
      <c r="C138" s="25">
        <f>32498192394</f>
        <v>32498192394</v>
      </c>
      <c r="D138" s="29" t="s">
        <v>41</v>
      </c>
      <c r="E138" s="27">
        <v>46005.97777777778</v>
      </c>
      <c r="F138" s="30">
        <v>46059.0</v>
      </c>
      <c r="G138" s="44"/>
      <c r="H138" s="44"/>
      <c r="I138" s="9" t="s">
        <v>780</v>
      </c>
      <c r="J138" s="11" t="s">
        <v>42</v>
      </c>
      <c r="K138" s="9">
        <v>800.0</v>
      </c>
      <c r="L138" s="9" t="s">
        <v>43</v>
      </c>
      <c r="M138" s="15">
        <v>0.0</v>
      </c>
      <c r="N138" s="15">
        <f t="shared" ref="N138:N139" si="12">90*1.21</f>
        <v>108.9</v>
      </c>
      <c r="O138" s="33"/>
      <c r="P138" s="34"/>
      <c r="Q138" s="34"/>
      <c r="R138" s="26"/>
      <c r="S138" s="42"/>
      <c r="T138" s="15">
        <f t="shared" ref="T138:T139" si="13">SUM(M138:N138)</f>
        <v>108.9</v>
      </c>
      <c r="U138" s="15">
        <f t="shared" ref="U138:U139" si="14">T138-S138</f>
        <v>108.9</v>
      </c>
      <c r="V138" s="16"/>
      <c r="W138" s="17">
        <v>4.5</v>
      </c>
      <c r="X138" s="15">
        <f t="shared" si="7"/>
        <v>63</v>
      </c>
      <c r="Y138" s="17">
        <v>61.0</v>
      </c>
      <c r="Z138" s="36">
        <v>244.0</v>
      </c>
      <c r="AA138" s="15">
        <v>36.6</v>
      </c>
      <c r="AB138" s="46"/>
      <c r="AC138" s="15">
        <f>IF(OR(L138="", AB138=""), 0,
  IF(L138="Découverte", KPI!$F$2,
    IF(L138="Essentiel", KPI!$F$3,
      IF(L138="Premium", KPI!$F$4, 0)
    )
  )
)</f>
        <v>0</v>
      </c>
      <c r="AD138" s="15">
        <f t="array" ref="AD138">IF(F138="", "", 
  (T138 / 1.21) 
  - IF(L138="Découverte", KPI!$C$2, 
      IF(L138="Essentiel", KPI!$C$3, 
        IF(L138="Premium", KPI!$C$4, 0)
      )
    ) 
  - N(X138) 
  - N(AA138) 
  - N(AC138)
  - IFERROR(INDEX(Stats!$G:$G, MATCH(DATE(YEAR(R138), MONTH(R138), 1), Stats!$A:$A, 0)), 35)
)</f>
        <v>-137.1</v>
      </c>
      <c r="AE138" s="33"/>
      <c r="AF138" s="37"/>
      <c r="AG138" s="38"/>
      <c r="AH138" s="39" t="s">
        <v>902</v>
      </c>
      <c r="AI138" s="9" t="s">
        <v>903</v>
      </c>
      <c r="AJ138" s="38"/>
      <c r="AK138" s="33"/>
      <c r="AL138" s="43"/>
      <c r="AM138" s="41"/>
    </row>
    <row r="139">
      <c r="A139" s="9" t="s">
        <v>904</v>
      </c>
      <c r="B139" s="39" t="s">
        <v>905</v>
      </c>
      <c r="C139" s="25">
        <f>3271820161</f>
        <v>3271820161</v>
      </c>
      <c r="D139" s="29" t="s">
        <v>41</v>
      </c>
      <c r="E139" s="27">
        <v>45993.0</v>
      </c>
      <c r="F139" s="30">
        <v>46052.0</v>
      </c>
      <c r="G139" s="44"/>
      <c r="H139" s="44"/>
      <c r="I139" s="9" t="s">
        <v>906</v>
      </c>
      <c r="J139" s="11" t="s">
        <v>42</v>
      </c>
      <c r="K139" s="9">
        <v>120.0</v>
      </c>
      <c r="L139" s="9" t="s">
        <v>43</v>
      </c>
      <c r="M139" s="15">
        <f>550*1.21</f>
        <v>665.5</v>
      </c>
      <c r="N139" s="15">
        <f t="shared" si="12"/>
        <v>108.9</v>
      </c>
      <c r="O139" s="33"/>
      <c r="P139" s="34"/>
      <c r="Q139" s="34"/>
      <c r="R139" s="26"/>
      <c r="S139" s="42"/>
      <c r="T139" s="15">
        <f t="shared" si="13"/>
        <v>774.4</v>
      </c>
      <c r="U139" s="15">
        <f t="shared" si="14"/>
        <v>774.4</v>
      </c>
      <c r="V139" s="16" t="s">
        <v>380</v>
      </c>
      <c r="W139" s="17">
        <v>4.5</v>
      </c>
      <c r="X139" s="15">
        <f t="shared" si="7"/>
        <v>63</v>
      </c>
      <c r="Y139" s="17">
        <v>64.0</v>
      </c>
      <c r="Z139" s="36">
        <v>256.0</v>
      </c>
      <c r="AA139" s="15">
        <v>38.4</v>
      </c>
      <c r="AB139" s="46"/>
      <c r="AC139" s="15">
        <f>IF(OR(L139="", AB139=""), 0,
  IF(L139="Découverte", KPI!$F$2,
    IF(L139="Essentiel", KPI!$F$3,
      IF(L139="Premium", KPI!$F$4, 0)
    )
  )
)</f>
        <v>0</v>
      </c>
      <c r="AD139" s="15">
        <f t="array" ref="AD139">IF(F139="", "", 
  (T139 / 1.21) 
  - IF(L139="Découverte", KPI!$C$2, 
      IF(L139="Essentiel", KPI!$C$3, 
        IF(L139="Premium", KPI!$C$4, 0)
      )
    ) 
  - N(X139) 
  - N(AA139) 
  - N(AC139)
  - IFERROR(INDEX(Stats!$G:$G, MATCH(DATE(YEAR(R139), MONTH(R139), 1), Stats!$A:$A, 0)), 35)
)</f>
        <v>411.1</v>
      </c>
      <c r="AE139" s="33"/>
      <c r="AF139" s="37"/>
      <c r="AG139" s="38"/>
      <c r="AH139" s="39" t="s">
        <v>907</v>
      </c>
      <c r="AI139" s="9" t="s">
        <v>903</v>
      </c>
      <c r="AJ139" s="38"/>
      <c r="AK139" s="33"/>
      <c r="AL139" s="43"/>
      <c r="AM139" s="41"/>
    </row>
    <row r="140">
      <c r="A140" s="9" t="s">
        <v>908</v>
      </c>
      <c r="B140" s="39" t="s">
        <v>909</v>
      </c>
      <c r="C140" s="25">
        <v>3.2488480345E10</v>
      </c>
      <c r="D140" s="29" t="s">
        <v>41</v>
      </c>
      <c r="E140" s="27">
        <v>45950.347916666666</v>
      </c>
      <c r="F140" s="30">
        <v>46172.0</v>
      </c>
      <c r="G140" s="44"/>
      <c r="H140" s="44"/>
      <c r="I140" s="9" t="s">
        <v>910</v>
      </c>
      <c r="J140" s="11" t="s">
        <v>65</v>
      </c>
      <c r="K140" s="9">
        <v>80.0</v>
      </c>
      <c r="L140" s="9" t="s">
        <v>50</v>
      </c>
      <c r="M140" s="15">
        <v>390.0</v>
      </c>
      <c r="N140" s="15">
        <v>90.0</v>
      </c>
      <c r="O140" s="33"/>
      <c r="P140" s="34"/>
      <c r="Q140" s="34"/>
      <c r="R140" s="47">
        <v>46029.61666666667</v>
      </c>
      <c r="S140" s="42">
        <v>180.0</v>
      </c>
      <c r="T140" s="15">
        <v>480.0</v>
      </c>
      <c r="U140" s="15">
        <v>300.0</v>
      </c>
      <c r="V140" s="16"/>
      <c r="W140" s="17">
        <v>7.5</v>
      </c>
      <c r="X140" s="15">
        <f t="shared" si="7"/>
        <v>105</v>
      </c>
      <c r="Y140" s="17">
        <v>127.0</v>
      </c>
      <c r="Z140" s="36">
        <v>508.0</v>
      </c>
      <c r="AA140" s="15">
        <v>76.2</v>
      </c>
      <c r="AB140" s="46"/>
      <c r="AC140" s="15">
        <f>IF(OR(L140="", AB140=""), 0,
  IF(L140="Découverte", KPI!$F$2,
    IF(L140="Essentiel", KPI!$F$3,
      IF(L140="Premium", KPI!$F$4, 0)
    )
  )
)</f>
        <v>0</v>
      </c>
      <c r="AD140" s="15">
        <f t="array" ref="AD140">IF(F140="", "", 
  (T140 / 1.21) 
  - IF(L140="Découverte", KPI!$C$2, 
      IF(L140="Essentiel", KPI!$C$3, 
        IF(L140="Premium", KPI!$C$4, 0)
      )
    ) 
  - N(X140) 
  - N(AA140) 
  - N(AC140)
  - IFERROR(INDEX(Stats!$G:$G, MATCH(DATE(YEAR(R140), MONTH(R140), 1), Stats!$A:$A, 0)), 35)
)</f>
        <v>169.2442149</v>
      </c>
      <c r="AE140" s="33"/>
      <c r="AF140" s="37"/>
      <c r="AG140" s="38"/>
      <c r="AH140" s="39" t="s">
        <v>911</v>
      </c>
      <c r="AI140" s="9" t="s">
        <v>912</v>
      </c>
      <c r="AJ140" s="38"/>
      <c r="AK140" s="33"/>
      <c r="AL140" s="43" t="s">
        <v>889</v>
      </c>
      <c r="AM140" s="41"/>
    </row>
    <row r="141">
      <c r="A141" s="9" t="s">
        <v>913</v>
      </c>
      <c r="B141" s="39" t="s">
        <v>914</v>
      </c>
      <c r="C141" s="25">
        <v>32495764093</v>
      </c>
      <c r="D141" s="29" t="s">
        <v>41</v>
      </c>
      <c r="E141" s="27">
        <v>46032.82361111111</v>
      </c>
      <c r="F141" s="30">
        <v>46046.0</v>
      </c>
      <c r="G141" s="44"/>
      <c r="H141" s="44"/>
      <c r="I141" s="9" t="s">
        <v>915</v>
      </c>
      <c r="J141" s="11" t="s">
        <v>423</v>
      </c>
      <c r="K141" s="9">
        <v>63.0</v>
      </c>
      <c r="L141" s="9" t="s">
        <v>50</v>
      </c>
      <c r="M141" s="15">
        <v>440.0</v>
      </c>
      <c r="N141" s="15">
        <v>90.0</v>
      </c>
      <c r="O141" s="33"/>
      <c r="P141" s="34"/>
      <c r="Q141" s="34"/>
      <c r="R141" s="47"/>
      <c r="S141" s="42">
        <v>180.0</v>
      </c>
      <c r="T141" s="15">
        <v>530.0</v>
      </c>
      <c r="U141" s="15">
        <v>350.0</v>
      </c>
      <c r="V141" s="16"/>
      <c r="W141" s="17">
        <v>5.0</v>
      </c>
      <c r="X141" s="15"/>
      <c r="Y141" s="17">
        <v>71.0</v>
      </c>
      <c r="Z141" s="36">
        <v>284.0</v>
      </c>
      <c r="AA141" s="15">
        <v>42.6</v>
      </c>
      <c r="AB141" s="46"/>
      <c r="AC141" s="15">
        <f>IF(OR(L141="", AB141=""), 0,
  IF(L141="Découverte", KPI!$F$2,
    IF(L141="Essentiel", KPI!$F$3,
      IF(L141="Premium", KPI!$F$4, 0)
    )
  )
)</f>
        <v>0</v>
      </c>
      <c r="AD141" s="15">
        <f t="array" ref="AD141">IF(F141="", "", 
  (T141 / 1.21) 
  - IF(L141="Découverte", KPI!$C$2, 
      IF(L141="Essentiel", KPI!$C$3, 
        IF(L141="Premium", KPI!$C$4, 0)
      )
    ) 
  - N(X141) 
  - N(AA141) 
  - N(AC141)
  - IFERROR(INDEX(Stats!$G:$G, MATCH(DATE(YEAR(R141), MONTH(R141), 1), Stats!$A:$A, 0)), 35)
)</f>
        <v>314.1665289</v>
      </c>
      <c r="AE141" s="33"/>
      <c r="AF141" s="37"/>
      <c r="AG141" s="38"/>
      <c r="AH141" s="39" t="s">
        <v>916</v>
      </c>
      <c r="AI141" s="9" t="s">
        <v>917</v>
      </c>
      <c r="AJ141" s="38"/>
      <c r="AK141" s="33"/>
      <c r="AL141" s="43"/>
      <c r="AM141" s="41"/>
    </row>
    <row r="142">
      <c r="A142" s="9" t="s">
        <v>918</v>
      </c>
      <c r="B142" s="39" t="s">
        <v>919</v>
      </c>
      <c r="C142" s="25">
        <v>33642069444</v>
      </c>
      <c r="D142" s="29" t="s">
        <v>41</v>
      </c>
      <c r="E142" s="27">
        <v>46034.28472222222</v>
      </c>
      <c r="F142" s="30">
        <v>46585.0</v>
      </c>
      <c r="G142" s="44"/>
      <c r="H142" s="44"/>
      <c r="I142" s="9" t="s">
        <v>920</v>
      </c>
      <c r="J142" s="11" t="s">
        <v>65</v>
      </c>
      <c r="K142" s="9" t="s">
        <v>921</v>
      </c>
      <c r="L142" s="9" t="s">
        <v>43</v>
      </c>
      <c r="M142" s="15">
        <v>490.0</v>
      </c>
      <c r="N142" s="15">
        <v>90.0</v>
      </c>
      <c r="O142" s="33"/>
      <c r="P142" s="34"/>
      <c r="Q142" s="48">
        <v>150.0</v>
      </c>
      <c r="R142" s="47">
        <v>46034.575</v>
      </c>
      <c r="S142" s="42">
        <v>180.0</v>
      </c>
      <c r="T142" s="15">
        <v>680.0</v>
      </c>
      <c r="U142" s="15">
        <v>500.0</v>
      </c>
      <c r="V142" s="16"/>
      <c r="W142" s="17">
        <v>20.0</v>
      </c>
      <c r="X142" s="15"/>
      <c r="Y142" s="17">
        <v>436.0</v>
      </c>
      <c r="Z142" s="36"/>
      <c r="AA142" s="15"/>
      <c r="AB142" s="46"/>
      <c r="AC142" s="15">
        <f>IF(OR(L142="", AB142=""), 0,
  IF(L142="Découverte", KPI!$F$2,
    IF(L142="Essentiel", KPI!$F$3,
      IF(L142="Premium", KPI!$F$4, 0)
    )
  )
)</f>
        <v>0</v>
      </c>
      <c r="AD142" s="15">
        <f t="array" ref="AD142">IF(F142="", "", 
  (T142 / 1.21) 
  - IF(L142="Découverte", KPI!$C$2, 
      IF(L142="Essentiel", KPI!$C$3, 
        IF(L142="Premium", KPI!$C$4, 0)
      )
    ) 
  - N(X142) 
  - N(AA142) 
  - N(AC142)
  - IFERROR(INDEX(Stats!$G:$G, MATCH(DATE(YEAR(R142), MONTH(R142), 1), Stats!$A:$A, 0)), 35)
)</f>
        <v>469.4834711</v>
      </c>
      <c r="AE142" s="33"/>
      <c r="AF142" s="37"/>
      <c r="AG142" s="38"/>
      <c r="AH142" s="39" t="s">
        <v>922</v>
      </c>
      <c r="AI142" s="9" t="s">
        <v>912</v>
      </c>
      <c r="AJ142" s="38"/>
      <c r="AK142" s="33"/>
      <c r="AL142" s="43" t="s">
        <v>731</v>
      </c>
      <c r="AM142" s="41"/>
    </row>
    <row r="143">
      <c r="A143" s="9" t="s">
        <v>923</v>
      </c>
      <c r="B143" s="39"/>
      <c r="C143" s="25">
        <v>3.2471499198E10</v>
      </c>
      <c r="D143" s="29" t="s">
        <v>41</v>
      </c>
      <c r="E143" s="27">
        <v>46034.0</v>
      </c>
      <c r="F143" s="30">
        <v>46052.0</v>
      </c>
      <c r="G143" s="44"/>
      <c r="H143" s="44"/>
      <c r="I143" s="9" t="s">
        <v>924</v>
      </c>
      <c r="J143" s="11" t="s">
        <v>42</v>
      </c>
      <c r="K143" s="9">
        <v>1000.0</v>
      </c>
      <c r="L143" s="9" t="s">
        <v>43</v>
      </c>
      <c r="M143" s="15">
        <v>907.5</v>
      </c>
      <c r="N143" s="15">
        <v>108.9</v>
      </c>
      <c r="O143" s="33"/>
      <c r="P143" s="34"/>
      <c r="Q143" s="48"/>
      <c r="R143" s="47"/>
      <c r="S143" s="42"/>
      <c r="T143" s="15"/>
      <c r="U143" s="15"/>
      <c r="V143" s="16" t="s">
        <v>380</v>
      </c>
      <c r="W143" s="17">
        <v>4.5</v>
      </c>
      <c r="X143" s="15"/>
      <c r="Y143" s="17">
        <v>70.0</v>
      </c>
      <c r="Z143" s="36">
        <v>280.0</v>
      </c>
      <c r="AA143" s="15">
        <v>42.0</v>
      </c>
      <c r="AB143" s="46"/>
      <c r="AC143" s="15"/>
      <c r="AD143" s="15"/>
      <c r="AE143" s="33"/>
      <c r="AF143" s="37"/>
      <c r="AG143" s="38"/>
      <c r="AH143" s="39" t="s">
        <v>925</v>
      </c>
      <c r="AI143" s="9" t="s">
        <v>926</v>
      </c>
      <c r="AJ143" s="38"/>
      <c r="AK143" s="33"/>
      <c r="AL143" s="43"/>
      <c r="AM143" s="41"/>
    </row>
    <row r="144">
      <c r="A144" s="9" t="s">
        <v>927</v>
      </c>
      <c r="B144" s="39"/>
      <c r="C144" s="25">
        <v>3.2485708823E10</v>
      </c>
      <c r="D144" s="29" t="s">
        <v>41</v>
      </c>
      <c r="E144" s="27">
        <v>46033.0</v>
      </c>
      <c r="F144" s="30">
        <v>46039.0</v>
      </c>
      <c r="G144" s="44"/>
      <c r="H144" s="44"/>
      <c r="I144" s="9"/>
      <c r="J144" s="11" t="s">
        <v>42</v>
      </c>
      <c r="K144" s="9"/>
      <c r="L144" s="9" t="s">
        <v>43</v>
      </c>
      <c r="M144" s="15"/>
      <c r="N144" s="15"/>
      <c r="O144" s="33"/>
      <c r="P144" s="34"/>
      <c r="Q144" s="48"/>
      <c r="R144" s="47"/>
      <c r="S144" s="42"/>
      <c r="T144" s="15"/>
      <c r="U144" s="15"/>
      <c r="V144" s="16"/>
      <c r="W144" s="17"/>
      <c r="X144" s="15"/>
      <c r="Y144" s="17"/>
      <c r="Z144" s="36"/>
      <c r="AA144" s="15"/>
      <c r="AB144" s="46"/>
      <c r="AC144" s="15"/>
      <c r="AD144" s="15"/>
      <c r="AE144" s="33"/>
      <c r="AF144" s="37"/>
      <c r="AG144" s="38"/>
      <c r="AH144" s="39" t="s">
        <v>928</v>
      </c>
      <c r="AI144" s="9" t="s">
        <v>929</v>
      </c>
      <c r="AJ144" s="38"/>
      <c r="AK144" s="33"/>
      <c r="AL144" s="43"/>
      <c r="AM144" s="41"/>
    </row>
    <row r="145">
      <c r="A145" s="9" t="s">
        <v>517</v>
      </c>
      <c r="B145" s="9" t="s">
        <v>518</v>
      </c>
      <c r="C145" s="21"/>
      <c r="D145" s="11" t="s">
        <v>41</v>
      </c>
      <c r="E145" s="12">
        <v>46034.0</v>
      </c>
      <c r="F145" s="12">
        <v>46045.0</v>
      </c>
      <c r="G145" s="13">
        <v>0.7291666666666666</v>
      </c>
      <c r="H145" s="13">
        <v>0.9166666666666666</v>
      </c>
      <c r="I145" s="9" t="s">
        <v>519</v>
      </c>
      <c r="J145" s="11" t="s">
        <v>42</v>
      </c>
      <c r="K145" s="14"/>
      <c r="L145" s="9" t="s">
        <v>43</v>
      </c>
      <c r="M145" s="15">
        <v>0.0</v>
      </c>
      <c r="N145" s="15">
        <v>0.0</v>
      </c>
      <c r="O145" s="14"/>
      <c r="P145" s="14"/>
      <c r="Q145" s="15"/>
      <c r="R145" s="12"/>
      <c r="S145" s="15">
        <v>0.0</v>
      </c>
      <c r="T145" s="15">
        <v>0.0</v>
      </c>
      <c r="U145" s="15">
        <v>0.0</v>
      </c>
      <c r="V145" s="16" t="s">
        <v>44</v>
      </c>
      <c r="W145" s="17">
        <v>2.5</v>
      </c>
      <c r="X145" s="15">
        <v>70.0</v>
      </c>
      <c r="Y145" s="17">
        <v>6.0</v>
      </c>
      <c r="Z145" s="17">
        <v>24.0</v>
      </c>
      <c r="AA145" s="15">
        <v>3.6</v>
      </c>
      <c r="AB145" s="16"/>
      <c r="AC145" s="15">
        <f>IF(OR(L145="", AB145=""), 0,
  IF(L145="Découverte", KPI!$F$2,
    IF(L145="Essentiel", KPI!$F$3,
      IF(L145="Premium", KPI!$F$4, 0)
    )
  )
)</f>
        <v>0</v>
      </c>
      <c r="AD145" s="15">
        <f t="array" ref="AD145">IF(F145="", "", 
  (T145 / 1.21) 
  - IF(L145="Découverte", KPI!$C$2, 
      IF(L145="Essentiel", KPI!$C$3, 
        IF(L145="Premium", KPI!$C$4, 0)
      )
    ) 
  - N(X145) 
  - N(AA145) 
  - N(AC145)
  - IFERROR(INDEX(Stats!$G:$G, MATCH(DATE(YEAR(R145), MONTH(R145), 1), Stats!$A:$A, 0)), 35)
)</f>
        <v>-201.1</v>
      </c>
      <c r="AE145" s="18"/>
      <c r="AF145" s="18"/>
      <c r="AG145" s="15"/>
      <c r="AH145" s="15" t="s">
        <v>930</v>
      </c>
      <c r="AI145" s="15" t="s">
        <v>931</v>
      </c>
      <c r="AJ145" s="15"/>
      <c r="AK145" s="15"/>
      <c r="AL145" s="19"/>
      <c r="AM145" s="17"/>
    </row>
    <row r="146">
      <c r="A146" s="9" t="s">
        <v>517</v>
      </c>
      <c r="B146" s="9" t="s">
        <v>518</v>
      </c>
      <c r="C146" s="21"/>
      <c r="D146" s="11" t="s">
        <v>41</v>
      </c>
      <c r="E146" s="12">
        <v>46034.0</v>
      </c>
      <c r="F146" s="12">
        <v>46046.0</v>
      </c>
      <c r="G146" s="13">
        <v>0.4583333333333333</v>
      </c>
      <c r="H146" s="9"/>
      <c r="I146" s="9" t="s">
        <v>519</v>
      </c>
      <c r="J146" s="11" t="s">
        <v>42</v>
      </c>
      <c r="K146" s="14"/>
      <c r="L146" s="9" t="s">
        <v>43</v>
      </c>
      <c r="M146" s="15">
        <v>300.0</v>
      </c>
      <c r="N146" s="15">
        <v>0.0</v>
      </c>
      <c r="O146" s="14"/>
      <c r="P146" s="14"/>
      <c r="Q146" s="15"/>
      <c r="R146" s="12"/>
      <c r="S146" s="15">
        <v>0.0</v>
      </c>
      <c r="T146" s="15">
        <v>363.0</v>
      </c>
      <c r="U146" s="15">
        <v>363.0</v>
      </c>
      <c r="V146" s="16" t="s">
        <v>44</v>
      </c>
      <c r="W146" s="17">
        <v>2.5</v>
      </c>
      <c r="X146" s="15">
        <v>70.0</v>
      </c>
      <c r="Y146" s="17">
        <v>6.0</v>
      </c>
      <c r="Z146" s="17">
        <v>24.0</v>
      </c>
      <c r="AA146" s="15">
        <v>3.6</v>
      </c>
      <c r="AB146" s="16"/>
      <c r="AC146" s="15">
        <f>IF(OR(L146="", AB146=""), 0,
  IF(L146="Découverte", KPI!$F$2,
    IF(L146="Essentiel", KPI!$F$3,
      IF(L146="Premium", KPI!$F$4, 0)
    )
  )
)</f>
        <v>0</v>
      </c>
      <c r="AD146" s="15">
        <f t="array" ref="AD146">IF(F146="", "", 
  (T146 / 1.21) 
  - IF(L146="Découverte", KPI!$C$2, 
      IF(L146="Essentiel", KPI!$C$3, 
        IF(L146="Premium", KPI!$C$4, 0)
      )
    ) 
  - N(X146) 
  - N(AA146) 
  - N(AC146)
  - IFERROR(INDEX(Stats!$G:$G, MATCH(DATE(YEAR(R146), MONTH(R146), 1), Stats!$A:$A, 0)), 35)
)</f>
        <v>98.9</v>
      </c>
      <c r="AE146" s="18"/>
      <c r="AF146" s="18"/>
      <c r="AG146" s="15"/>
      <c r="AH146" s="15" t="s">
        <v>932</v>
      </c>
      <c r="AI146" s="15" t="s">
        <v>931</v>
      </c>
      <c r="AJ146" s="15"/>
      <c r="AK146" s="15"/>
      <c r="AL146" s="19"/>
      <c r="AM146" s="17"/>
    </row>
  </sheetData>
  <autoFilter ref="$A$1:$AM$144"/>
  <dataValidations>
    <dataValidation type="list" allowBlank="1" showErrorMessage="1" sqref="V2:V146">
      <formula1>"Mouad,Abdel"</formula1>
    </dataValidation>
    <dataValidation type="list" allowBlank="1" showErrorMessage="1" sqref="AB2:AB146">
      <formula1>"Maxime,Nizar,Assiyaa"</formula1>
    </dataValidation>
  </dataValidations>
  <hyperlinks>
    <hyperlink r:id="rId1" ref="AF94"/>
    <hyperlink r:id="rId2" ref="AF107"/>
    <hyperlink r:id="rId3" ref="AF12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25"/>
    <col customWidth="1" min="2" max="5" width="14.88"/>
    <col customWidth="1" min="6" max="6" width="20.0"/>
    <col customWidth="1" min="7" max="7" width="14.88"/>
    <col customWidth="1" min="8" max="10" width="14.13"/>
    <col customWidth="1" min="11" max="11" width="21.0"/>
    <col customWidth="1" min="12" max="12" width="14.13"/>
    <col customWidth="1" min="13" max="13" width="15.63"/>
    <col customWidth="1" min="14" max="15" width="15.25"/>
    <col customWidth="1" min="16" max="16" width="20.75"/>
    <col customWidth="1" min="17" max="17" width="16.63"/>
    <col customWidth="1" min="18" max="20" width="15.63"/>
    <col customWidth="1" min="21" max="21" width="17.5"/>
    <col customWidth="1" min="22" max="22" width="19.38"/>
    <col customWidth="1" min="23" max="23" width="23.0"/>
    <col customWidth="1" min="24" max="24" width="30.25"/>
    <col customWidth="1" min="25" max="26" width="30.0"/>
    <col customWidth="1" min="27" max="27" width="29.0"/>
    <col customWidth="1" min="28" max="29" width="25.5"/>
    <col customWidth="1" min="30" max="31" width="25.63"/>
    <col customWidth="1" min="32" max="32" width="27.63"/>
    <col customWidth="1" min="33" max="34" width="30.25"/>
    <col customWidth="1" min="35" max="35" width="24.0"/>
    <col customWidth="1" min="36" max="36" width="23.0"/>
  </cols>
  <sheetData>
    <row r="1">
      <c r="A1" s="49" t="s">
        <v>933</v>
      </c>
      <c r="B1" s="50" t="s">
        <v>934</v>
      </c>
      <c r="C1" s="50" t="s">
        <v>935</v>
      </c>
      <c r="D1" s="49" t="s">
        <v>936</v>
      </c>
      <c r="E1" s="49" t="s">
        <v>937</v>
      </c>
      <c r="F1" s="49" t="s">
        <v>938</v>
      </c>
      <c r="G1" s="49" t="s">
        <v>939</v>
      </c>
      <c r="H1" s="50" t="s">
        <v>940</v>
      </c>
      <c r="I1" s="49" t="s">
        <v>941</v>
      </c>
      <c r="J1" s="49" t="s">
        <v>942</v>
      </c>
      <c r="K1" s="49" t="s">
        <v>943</v>
      </c>
      <c r="L1" s="49" t="s">
        <v>944</v>
      </c>
      <c r="M1" s="49" t="s">
        <v>945</v>
      </c>
      <c r="N1" s="49" t="s">
        <v>946</v>
      </c>
      <c r="O1" s="49" t="s">
        <v>947</v>
      </c>
      <c r="P1" s="49" t="s">
        <v>948</v>
      </c>
      <c r="Q1" s="49" t="s">
        <v>949</v>
      </c>
      <c r="R1" s="49" t="s">
        <v>950</v>
      </c>
      <c r="S1" s="49" t="s">
        <v>951</v>
      </c>
      <c r="T1" s="49" t="s">
        <v>952</v>
      </c>
      <c r="U1" s="49" t="s">
        <v>953</v>
      </c>
      <c r="V1" s="49" t="s">
        <v>954</v>
      </c>
      <c r="W1" s="49" t="s">
        <v>955</v>
      </c>
      <c r="X1" s="49" t="s">
        <v>956</v>
      </c>
      <c r="Y1" s="49" t="s">
        <v>957</v>
      </c>
      <c r="Z1" s="49" t="s">
        <v>958</v>
      </c>
      <c r="AA1" s="49" t="s">
        <v>959</v>
      </c>
      <c r="AB1" s="49" t="s">
        <v>960</v>
      </c>
      <c r="AC1" s="49" t="s">
        <v>961</v>
      </c>
      <c r="AD1" s="49" t="s">
        <v>962</v>
      </c>
      <c r="AE1" s="49" t="s">
        <v>963</v>
      </c>
      <c r="AF1" s="49" t="s">
        <v>964</v>
      </c>
      <c r="AG1" s="49" t="s">
        <v>965</v>
      </c>
      <c r="AH1" s="49" t="s">
        <v>966</v>
      </c>
      <c r="AI1" s="49" t="s">
        <v>967</v>
      </c>
      <c r="AJ1" s="49" t="s">
        <v>968</v>
      </c>
    </row>
    <row r="2">
      <c r="A2" s="51">
        <v>45658.0</v>
      </c>
      <c r="B2" s="52"/>
      <c r="C2" s="53">
        <v>750.0</v>
      </c>
      <c r="D2" s="54">
        <f t="shared" ref="D2:D13" si="1">IF(B2=0, 0, C2/B2)</f>
        <v>0</v>
      </c>
      <c r="E2" s="55">
        <f>COUNTIFS(
  Clients!$R:$R, "&gt;="&amp;A2,
  Clients!$R:$R, "&lt;"&amp;DATE(YEAR(A2), MONTH(A2)+1, 1)
)</f>
        <v>0</v>
      </c>
      <c r="F2" s="56">
        <f t="shared" ref="F2:F13" si="2">IF(B2=0, 0, E2/B2)</f>
        <v>0</v>
      </c>
      <c r="G2" s="54">
        <v>35.0</v>
      </c>
      <c r="H2" s="52"/>
      <c r="I2" s="54">
        <f t="shared" ref="I2:I12" si="3">IF(H2=0, 0, #REF!/H2)</f>
        <v>0</v>
      </c>
      <c r="J2" s="55"/>
      <c r="K2" s="56"/>
      <c r="L2" s="54"/>
      <c r="M2" s="55">
        <f>COUNTIFS(
  Clients!$R:$R, "&gt;="&amp;A2,
  Clients!$R:$R, "&lt;"&amp;DATE(YEAR(A2), MONTH(A2)+1, 1),
  Clients!$L:$L, "Découverte"
)</f>
        <v>0</v>
      </c>
      <c r="N2" s="55">
        <f>COUNTIFS(
  Clients!$R:$R, "&gt;="&amp;A2,
  Clients!$R:$R, "&lt;"&amp;DATE(YEAR(A2), MONTH(A2)+1, 1),
  Clients!$L:$L, "Essentiel"
)</f>
        <v>0</v>
      </c>
      <c r="O2" s="55">
        <f>COUNTIFS(
  Clients!$R:$R, "&gt;="&amp;A2,
  Clients!$R:$R, "&lt;"&amp;DATE(YEAR(A2), MONTH(A2)+1, 1),
  Clients!$L:$L, "Premium"
)</f>
        <v>0</v>
      </c>
      <c r="P2" s="54">
        <f>SUMIFS(
  Clients!$S:$S,
  Clients!$R:$R, "&gt;="&amp;A2,
  Clients!$R:$R, "&lt;"&amp;DATE(YEAR(A2), MONTH(A2)+1, 1)
)</f>
        <v>0</v>
      </c>
      <c r="Q2" s="55">
        <f>COUNTIFS(
  Clients!$F:$F, "&gt;="&amp;A2,
  Clients!$F:$F, "&lt;"&amp;DATE(YEAR(A2), MONTH(A2)+1, 1)
)</f>
        <v>4</v>
      </c>
      <c r="R2" s="55">
        <f>COUNTIFS(
  Clients!$F:$F, "&gt;="&amp;A2,
  Clients!$F:$F, "&lt;"&amp;DATE(YEAR(A2), MONTH(A2)+1, 1),
  Clients!$L:$L, "Découverte"
)</f>
        <v>1</v>
      </c>
      <c r="S2" s="55">
        <f>COUNTIFS(
  Clients!$F:$F, "&gt;="&amp;A2,
  Clients!$F:$F, "&lt;"&amp;DATE(YEAR(A2), MONTH(A2)+1, 1),
  Clients!$L:$L, "Essentiel"
)</f>
        <v>1</v>
      </c>
      <c r="T2" s="55">
        <f>COUNTIFS(
  Clients!$F:$F, "&gt;="&amp;A2,
  Clients!$F:$F, "&lt;"&amp;DATE(YEAR(A2), MONTH(A2)+1, 1),
  Clients!$L:$L, "Premium"
)</f>
        <v>2</v>
      </c>
      <c r="U2" s="54">
        <f>SUMIFS(
  Clients!$T:$T,
  Clients!$F:$F, "&gt;="&amp;A2,
  Clients!$F:$F, "&lt;"&amp;DATE(YEAR(A2), MONTH(A2)+1, 1)
)</f>
        <v>2320</v>
      </c>
      <c r="V2" s="54">
        <f>SUMIFS(
  Clients!$S:$S,
  Clients!$F:$F, "&gt;="&amp;A2,
  Clients!$F:$F, "&lt;"&amp;DATE(YEAR(A2), MONTH(A2)+1, 1)
)</f>
        <v>0</v>
      </c>
      <c r="W2" s="54">
        <f>SUMIFS(
  Clients!$U:$U,
  Clients!$F:$F, "&gt;="&amp;A2,
  Clients!$F:$F, "&lt;"&amp;DATE(YEAR(A2), MONTH(A2)+1, 1)
)</f>
        <v>2320</v>
      </c>
      <c r="X2" s="54">
        <f t="shared" ref="X2:X13" si="4"> P2 + W2</f>
        <v>2320</v>
      </c>
      <c r="Y2" s="55"/>
      <c r="Z2" s="54">
        <f>SUMIFS(
  Clients!$N:$N,
  Clients!$F:$F,"&gt;="&amp;$A2,
  Clients!$F:$F,"&lt;"&amp;DATE(YEAR($A2),MONTH($A2)+1,1)
)</f>
        <v>80</v>
      </c>
      <c r="AA2" s="54">
        <f> R2 * KPI!$C$2
 + S2 * KPI!$C$3
 + T2 * KPI!$C$4</f>
        <v>254.37</v>
      </c>
      <c r="AB2" s="57">
        <f>SUMIFS(
  Clients!$W:$W,
  Clients!$F:$F,"&gt;="&amp;A2,
  Clients!$F:$F,"&lt;"&amp;DATE(YEAR(A2),MONTH(A2)+1,1)
)</f>
        <v>19</v>
      </c>
      <c r="AC2" s="54">
        <f>SUMIFS(
  Clients!$X:$X,
  Clients!$F:$F,"&gt;="&amp;A2,
  Clients!$F:$F,"&lt;"&amp;DATE(YEAR(A2),MONTH(A2)+1,1)
)</f>
        <v>280</v>
      </c>
      <c r="AD2" s="54">
        <f>SUMIFS(
  Clients!$AA:$AA,
  Clients!$F:$F,"&gt;="&amp;$A2,
  Clients!$F:$F,"&lt;"&amp;DATE(YEAR($A2),MONTH($A2)+1,1)
)</f>
        <v>168.6</v>
      </c>
      <c r="AE2" s="54">
        <f>SUMIFS(
  Clients!$AC:$AC,
  Clients!$R:$R,"&gt;="&amp;$A2,
  Clients!$R:$R,"&lt;"&amp;DATE(YEAR($A2),MONTH($A2)+1,1)
)</f>
        <v>0</v>
      </c>
      <c r="AF2" s="58">
        <f>KPI!$B$29</f>
        <v>441.64</v>
      </c>
      <c r="AG2" s="55"/>
      <c r="AH2" s="54">
        <f t="shared" ref="AH2:AH9" si="5"> U2 - AA2 - Z2 - AC2 - AD2</f>
        <v>1537.03</v>
      </c>
      <c r="AI2" s="54">
        <f t="shared" ref="AI2:AI13" si="6"> (P2 + W2 + Z2) - AA2 - AC2 - AD2 - AE2</f>
        <v>1697.03</v>
      </c>
      <c r="AJ2" s="54">
        <f t="shared" ref="AJ2:AJ13" si="7"> AI2 - C2 - AF2</f>
        <v>505.39</v>
      </c>
    </row>
    <row r="3">
      <c r="A3" s="51">
        <v>45689.0</v>
      </c>
      <c r="B3" s="52"/>
      <c r="C3" s="53">
        <v>750.0</v>
      </c>
      <c r="D3" s="54">
        <f t="shared" si="1"/>
        <v>0</v>
      </c>
      <c r="E3" s="55">
        <f>COUNTIFS(
  Clients!$R:$R, "&gt;="&amp;A3,
  Clients!$R:$R, "&lt;"&amp;DATE(YEAR(A3), MONTH(A3)+1, 1)
)</f>
        <v>0</v>
      </c>
      <c r="F3" s="56">
        <f t="shared" si="2"/>
        <v>0</v>
      </c>
      <c r="G3" s="54">
        <v>35.0</v>
      </c>
      <c r="H3" s="52"/>
      <c r="I3" s="54">
        <f t="shared" si="3"/>
        <v>0</v>
      </c>
      <c r="J3" s="55"/>
      <c r="K3" s="56"/>
      <c r="L3" s="54"/>
      <c r="M3" s="55">
        <f>COUNTIFS(
  Clients!$R:$R, "&gt;="&amp;A3,
  Clients!$R:$R, "&lt;"&amp;DATE(YEAR(A3), MONTH(A3)+1, 1),
  Clients!$L:$L, "Découverte"
)</f>
        <v>0</v>
      </c>
      <c r="N3" s="55">
        <f>COUNTIFS(
  Clients!$R:$R, "&gt;="&amp;A3,
  Clients!$R:$R, "&lt;"&amp;DATE(YEAR(A3), MONTH(A3)+1, 1),
  Clients!$L:$L, "Essentiel"
)</f>
        <v>0</v>
      </c>
      <c r="O3" s="55">
        <f>COUNTIFS(
  Clients!$R:$R, "&gt;="&amp;A3,
  Clients!$R:$R, "&lt;"&amp;DATE(YEAR(A3), MONTH(A3)+1, 1),
  Clients!$L:$L, "Premium"
)</f>
        <v>0</v>
      </c>
      <c r="P3" s="54">
        <f>SUMIFS(
  Clients!$S:$S,
  Clients!$R:$R, "&gt;="&amp;A3,
  Clients!$R:$R, "&lt;"&amp;DATE(YEAR(A3), MONTH(A3)+1, 1)
)</f>
        <v>0</v>
      </c>
      <c r="Q3" s="55">
        <f>COUNTIFS(
  Clients!$F:$F, "&gt;="&amp;A3,
  Clients!$F:$F, "&lt;"&amp;DATE(YEAR(A3), MONTH(A3)+1, 1)
)</f>
        <v>0</v>
      </c>
      <c r="R3" s="55">
        <f>COUNTIFS(
  Clients!$F:$F, "&gt;="&amp;A3,
  Clients!$F:$F, "&lt;"&amp;DATE(YEAR(A3), MONTH(A3)+1, 1),
  Clients!$L:$L, "Découverte"
)</f>
        <v>0</v>
      </c>
      <c r="S3" s="55">
        <f>COUNTIFS(
  Clients!$F:$F, "&gt;="&amp;A3,
  Clients!$F:$F, "&lt;"&amp;DATE(YEAR(A3), MONTH(A3)+1, 1),
  Clients!$L:$L, "Essentiel"
)</f>
        <v>0</v>
      </c>
      <c r="T3" s="55">
        <f>COUNTIFS(
  Clients!$F:$F, "&gt;="&amp;A3,
  Clients!$F:$F, "&lt;"&amp;DATE(YEAR(A3), MONTH(A3)+1, 1),
  Clients!$L:$L, "Premium"
)</f>
        <v>0</v>
      </c>
      <c r="U3" s="54">
        <f>SUMIFS(
  Clients!$T:$T,
  Clients!$F:$F, "&gt;="&amp;A3,
  Clients!$F:$F, "&lt;"&amp;DATE(YEAR(A3), MONTH(A3)+1, 1)
)</f>
        <v>0</v>
      </c>
      <c r="V3" s="54">
        <f>SUMIFS(
  Clients!$S:$S,
  Clients!$F:$F, "&gt;="&amp;A3,
  Clients!$F:$F, "&lt;"&amp;DATE(YEAR(A3), MONTH(A3)+1, 1)
)</f>
        <v>0</v>
      </c>
      <c r="W3" s="54">
        <f>SUMIFS(
  Clients!$U:$U,
  Clients!$F:$F, "&gt;="&amp;A3,
  Clients!$F:$F, "&lt;"&amp;DATE(YEAR(A3), MONTH(A3)+1, 1)
)</f>
        <v>0</v>
      </c>
      <c r="X3" s="54">
        <f t="shared" si="4"/>
        <v>0</v>
      </c>
      <c r="Y3" s="55"/>
      <c r="Z3" s="54">
        <f>SUMIFS(
  Clients!$N:$N,
  Clients!$F:$F,"&gt;="&amp;$A3,
  Clients!$F:$F,"&lt;"&amp;DATE(YEAR($A3),MONTH($A3)+1,1)
)</f>
        <v>0</v>
      </c>
      <c r="AA3" s="54">
        <f> R3 * KPI!$C$2
 + S3 * KPI!$C$3
 + T3 * KPI!$C$4</f>
        <v>0</v>
      </c>
      <c r="AB3" s="57">
        <f>SUMIFS(
  Clients!$W:$W,
  Clients!$F:$F,"&gt;="&amp;A3,
  Clients!$F:$F,"&lt;"&amp;DATE(YEAR(A3),MONTH(A3)+1,1)
)</f>
        <v>0</v>
      </c>
      <c r="AC3" s="54">
        <f>SUMIFS(
  Clients!$X:$X,
  Clients!$F:$F,"&gt;="&amp;A3,
  Clients!$F:$F,"&lt;"&amp;DATE(YEAR(A3),MONTH(A3)+1,1)
)</f>
        <v>0</v>
      </c>
      <c r="AD3" s="54">
        <f>SUMIFS(
  Clients!$AA:$AA,
  Clients!$F:$F,"&gt;="&amp;$A3,
  Clients!$F:$F,"&lt;"&amp;DATE(YEAR($A3),MONTH($A3)+1,1)
)</f>
        <v>0</v>
      </c>
      <c r="AE3" s="54">
        <f>SUMIFS(
  Clients!$AC:$AC,
  Clients!$R:$R,"&gt;="&amp;$A3,
  Clients!$R:$R,"&lt;"&amp;DATE(YEAR($A3),MONTH($A3)+1,1)
)</f>
        <v>0</v>
      </c>
      <c r="AF3" s="58">
        <f>KPI!$B$29</f>
        <v>441.64</v>
      </c>
      <c r="AG3" s="55"/>
      <c r="AH3" s="54">
        <f t="shared" si="5"/>
        <v>0</v>
      </c>
      <c r="AI3" s="54">
        <f t="shared" si="6"/>
        <v>0</v>
      </c>
      <c r="AJ3" s="54">
        <f t="shared" si="7"/>
        <v>-1191.64</v>
      </c>
    </row>
    <row r="4">
      <c r="A4" s="51">
        <v>45717.0</v>
      </c>
      <c r="B4" s="52"/>
      <c r="C4" s="53">
        <v>750.0</v>
      </c>
      <c r="D4" s="54">
        <f t="shared" si="1"/>
        <v>0</v>
      </c>
      <c r="E4" s="55">
        <f>COUNTIFS(
  Clients!$R:$R, "&gt;="&amp;A4,
  Clients!$R:$R, "&lt;"&amp;DATE(YEAR(A4), MONTH(A4)+1, 1)
)</f>
        <v>0</v>
      </c>
      <c r="F4" s="56">
        <f t="shared" si="2"/>
        <v>0</v>
      </c>
      <c r="G4" s="54">
        <v>35.0</v>
      </c>
      <c r="H4" s="52"/>
      <c r="I4" s="54">
        <f t="shared" si="3"/>
        <v>0</v>
      </c>
      <c r="J4" s="55"/>
      <c r="K4" s="56"/>
      <c r="L4" s="54"/>
      <c r="M4" s="55">
        <f>COUNTIFS(
  Clients!$R:$R, "&gt;="&amp;A4,
  Clients!$R:$R, "&lt;"&amp;DATE(YEAR(A4), MONTH(A4)+1, 1),
  Clients!$L:$L, "Découverte"
)</f>
        <v>0</v>
      </c>
      <c r="N4" s="55">
        <f>COUNTIFS(
  Clients!$R:$R, "&gt;="&amp;A4,
  Clients!$R:$R, "&lt;"&amp;DATE(YEAR(A4), MONTH(A4)+1, 1),
  Clients!$L:$L, "Essentiel"
)</f>
        <v>0</v>
      </c>
      <c r="O4" s="55">
        <f>COUNTIFS(
  Clients!$R:$R, "&gt;="&amp;A4,
  Clients!$R:$R, "&lt;"&amp;DATE(YEAR(A4), MONTH(A4)+1, 1),
  Clients!$L:$L, "Premium"
)</f>
        <v>0</v>
      </c>
      <c r="P4" s="54">
        <f>SUMIFS(
  Clients!$S:$S,
  Clients!$R:$R, "&gt;="&amp;A4,
  Clients!$R:$R, "&lt;"&amp;DATE(YEAR(A4), MONTH(A4)+1, 1)
)</f>
        <v>0</v>
      </c>
      <c r="Q4" s="55">
        <f>COUNTIFS(
  Clients!$F:$F, "&gt;="&amp;A4,
  Clients!$F:$F, "&lt;"&amp;DATE(YEAR(A4), MONTH(A4)+1, 1)
)</f>
        <v>1</v>
      </c>
      <c r="R4" s="55">
        <f>COUNTIFS(
  Clients!$F:$F, "&gt;="&amp;A4,
  Clients!$F:$F, "&lt;"&amp;DATE(YEAR(A4), MONTH(A4)+1, 1),
  Clients!$L:$L, "Découverte"
)</f>
        <v>0</v>
      </c>
      <c r="S4" s="55">
        <f>COUNTIFS(
  Clients!$F:$F, "&gt;="&amp;A4,
  Clients!$F:$F, "&lt;"&amp;DATE(YEAR(A4), MONTH(A4)+1, 1),
  Clients!$L:$L, "Essentiel"
)</f>
        <v>0</v>
      </c>
      <c r="T4" s="55">
        <f>COUNTIFS(
  Clients!$F:$F, "&gt;="&amp;A4,
  Clients!$F:$F, "&lt;"&amp;DATE(YEAR(A4), MONTH(A4)+1, 1),
  Clients!$L:$L, "Premium"
)</f>
        <v>1</v>
      </c>
      <c r="U4" s="54">
        <f>SUMIFS(
  Clients!$T:$T,
  Clients!$F:$F, "&gt;="&amp;A4,
  Clients!$F:$F, "&lt;"&amp;DATE(YEAR(A4), MONTH(A4)+1, 1)
)</f>
        <v>580</v>
      </c>
      <c r="V4" s="54">
        <f>SUMIFS(
  Clients!$S:$S,
  Clients!$F:$F, "&gt;="&amp;A4,
  Clients!$F:$F, "&lt;"&amp;DATE(YEAR(A4), MONTH(A4)+1, 1)
)</f>
        <v>0</v>
      </c>
      <c r="W4" s="54">
        <f>SUMIFS(
  Clients!$U:$U,
  Clients!$F:$F, "&gt;="&amp;A4,
  Clients!$F:$F, "&lt;"&amp;DATE(YEAR(A4), MONTH(A4)+1, 1)
)</f>
        <v>580</v>
      </c>
      <c r="X4" s="54">
        <f t="shared" si="4"/>
        <v>580</v>
      </c>
      <c r="Y4" s="55"/>
      <c r="Z4" s="54">
        <f>SUMIFS(
  Clients!$N:$N,
  Clients!$F:$F,"&gt;="&amp;$A4,
  Clients!$F:$F,"&lt;"&amp;DATE(YEAR($A4),MONTH($A4)+1,1)
)</f>
        <v>80</v>
      </c>
      <c r="AA4" s="54">
        <f> R4 * KPI!$C$2
 + S4 * KPI!$C$3
 + T4 * KPI!$C$4</f>
        <v>92.5</v>
      </c>
      <c r="AB4" s="57">
        <f>SUMIFS(
  Clients!$W:$W,
  Clients!$F:$F,"&gt;="&amp;A4,
  Clients!$F:$F,"&lt;"&amp;DATE(YEAR(A4),MONTH(A4)+1,1)
)</f>
        <v>5</v>
      </c>
      <c r="AC4" s="54">
        <f>SUMIFS(
  Clients!$X:$X,
  Clients!$F:$F,"&gt;="&amp;A4,
  Clients!$F:$F,"&lt;"&amp;DATE(YEAR(A4),MONTH(A4)+1,1)
)</f>
        <v>70</v>
      </c>
      <c r="AD4" s="54">
        <f>SUMIFS(
  Clients!$AA:$AA,
  Clients!$F:$F,"&gt;="&amp;$A4,
  Clients!$F:$F,"&lt;"&amp;DATE(YEAR($A4),MONTH($A4)+1,1)
)</f>
        <v>47.4</v>
      </c>
      <c r="AE4" s="54">
        <f>SUMIFS(
  Clients!$AC:$AC,
  Clients!$R:$R,"&gt;="&amp;$A4,
  Clients!$R:$R,"&lt;"&amp;DATE(YEAR($A4),MONTH($A4)+1,1)
)</f>
        <v>0</v>
      </c>
      <c r="AF4" s="58">
        <f>KPI!$B$29</f>
        <v>441.64</v>
      </c>
      <c r="AG4" s="55"/>
      <c r="AH4" s="54">
        <f t="shared" si="5"/>
        <v>290.1</v>
      </c>
      <c r="AI4" s="54">
        <f t="shared" si="6"/>
        <v>450.1</v>
      </c>
      <c r="AJ4" s="54">
        <f t="shared" si="7"/>
        <v>-741.54</v>
      </c>
    </row>
    <row r="5">
      <c r="A5" s="51">
        <v>45748.0</v>
      </c>
      <c r="B5" s="52"/>
      <c r="C5" s="53">
        <v>750.0</v>
      </c>
      <c r="D5" s="54">
        <f t="shared" si="1"/>
        <v>0</v>
      </c>
      <c r="E5" s="55">
        <f>COUNTIFS(
  Clients!$R:$R, "&gt;="&amp;A5,
  Clients!$R:$R, "&lt;"&amp;DATE(YEAR(A5), MONTH(A5)+1, 1)
)</f>
        <v>0</v>
      </c>
      <c r="F5" s="56">
        <f t="shared" si="2"/>
        <v>0</v>
      </c>
      <c r="G5" s="54">
        <v>35.0</v>
      </c>
      <c r="H5" s="52"/>
      <c r="I5" s="54">
        <f t="shared" si="3"/>
        <v>0</v>
      </c>
      <c r="J5" s="55"/>
      <c r="K5" s="56"/>
      <c r="L5" s="54"/>
      <c r="M5" s="55">
        <f>COUNTIFS(
  Clients!$R:$R, "&gt;="&amp;A5,
  Clients!$R:$R, "&lt;"&amp;DATE(YEAR(A5), MONTH(A5)+1, 1),
  Clients!$L:$L, "Découverte"
)</f>
        <v>0</v>
      </c>
      <c r="N5" s="55">
        <f>COUNTIFS(
  Clients!$R:$R, "&gt;="&amp;A5,
  Clients!$R:$R, "&lt;"&amp;DATE(YEAR(A5), MONTH(A5)+1, 1),
  Clients!$L:$L, "Essentiel"
)</f>
        <v>0</v>
      </c>
      <c r="O5" s="55">
        <f>COUNTIFS(
  Clients!$R:$R, "&gt;="&amp;A5,
  Clients!$R:$R, "&lt;"&amp;DATE(YEAR(A5), MONTH(A5)+1, 1),
  Clients!$L:$L, "Premium"
)</f>
        <v>0</v>
      </c>
      <c r="P5" s="54">
        <f>SUMIFS(
  Clients!$S:$S,
  Clients!$R:$R, "&gt;="&amp;A5,
  Clients!$R:$R, "&lt;"&amp;DATE(YEAR(A5), MONTH(A5)+1, 1)
)</f>
        <v>0</v>
      </c>
      <c r="Q5" s="55">
        <f>COUNTIFS(
  Clients!$F:$F, "&gt;="&amp;A5,
  Clients!$F:$F, "&lt;"&amp;DATE(YEAR(A5), MONTH(A5)+1, 1)
)</f>
        <v>3</v>
      </c>
      <c r="R5" s="55">
        <f>COUNTIFS(
  Clients!$F:$F, "&gt;="&amp;A5,
  Clients!$F:$F, "&lt;"&amp;DATE(YEAR(A5), MONTH(A5)+1, 1),
  Clients!$L:$L, "Découverte"
)</f>
        <v>0</v>
      </c>
      <c r="S5" s="55">
        <f>COUNTIFS(
  Clients!$F:$F, "&gt;="&amp;A5,
  Clients!$F:$F, "&lt;"&amp;DATE(YEAR(A5), MONTH(A5)+1, 1),
  Clients!$L:$L, "Essentiel"
)</f>
        <v>0</v>
      </c>
      <c r="T5" s="55">
        <f>COUNTIFS(
  Clients!$F:$F, "&gt;="&amp;A5,
  Clients!$F:$F, "&lt;"&amp;DATE(YEAR(A5), MONTH(A5)+1, 1),
  Clients!$L:$L, "Premium"
)</f>
        <v>3</v>
      </c>
      <c r="U5" s="54">
        <f>SUMIFS(
  Clients!$T:$T,
  Clients!$F:$F, "&gt;="&amp;A5,
  Clients!$F:$F, "&lt;"&amp;DATE(YEAR(A5), MONTH(A5)+1, 1)
)</f>
        <v>1490</v>
      </c>
      <c r="V5" s="54">
        <f>SUMIFS(
  Clients!$S:$S,
  Clients!$F:$F, "&gt;="&amp;A5,
  Clients!$F:$F, "&lt;"&amp;DATE(YEAR(A5), MONTH(A5)+1, 1)
)</f>
        <v>0</v>
      </c>
      <c r="W5" s="54">
        <f>SUMIFS(
  Clients!$U:$U,
  Clients!$F:$F, "&gt;="&amp;A5,
  Clients!$F:$F, "&lt;"&amp;DATE(YEAR(A5), MONTH(A5)+1, 1)
)</f>
        <v>1490</v>
      </c>
      <c r="X5" s="54">
        <f t="shared" si="4"/>
        <v>1490</v>
      </c>
      <c r="Y5" s="55"/>
      <c r="Z5" s="54">
        <f>SUMIFS(
  Clients!$N:$N,
  Clients!$F:$F,"&gt;="&amp;$A5,
  Clients!$F:$F,"&lt;"&amp;DATE(YEAR($A5),MONTH($A5)+1,1)
)</f>
        <v>290</v>
      </c>
      <c r="AA5" s="54">
        <f> R5 * KPI!$C$2
 + S5 * KPI!$C$3
 + T5 * KPI!$C$4</f>
        <v>277.5</v>
      </c>
      <c r="AB5" s="57">
        <f>SUMIFS(
  Clients!$W:$W,
  Clients!$F:$F,"&gt;="&amp;A5,
  Clients!$F:$F,"&lt;"&amp;DATE(YEAR(A5),MONTH(A5)+1,1)
)</f>
        <v>17.5</v>
      </c>
      <c r="AC5" s="54">
        <f>SUMIFS(
  Clients!$X:$X,
  Clients!$F:$F,"&gt;="&amp;A5,
  Clients!$F:$F,"&lt;"&amp;DATE(YEAR(A5),MONTH(A5)+1,1)
)</f>
        <v>210</v>
      </c>
      <c r="AD5" s="54">
        <f>SUMIFS(
  Clients!$AA:$AA,
  Clients!$F:$F,"&gt;="&amp;$A5,
  Clients!$F:$F,"&lt;"&amp;DATE(YEAR($A5),MONTH($A5)+1,1)
)</f>
        <v>163.2</v>
      </c>
      <c r="AE5" s="54">
        <f>SUMIFS(
  Clients!$AC:$AC,
  Clients!$R:$R,"&gt;="&amp;$A5,
  Clients!$R:$R,"&lt;"&amp;DATE(YEAR($A5),MONTH($A5)+1,1)
)</f>
        <v>0</v>
      </c>
      <c r="AF5" s="58">
        <f>KPI!$B$29</f>
        <v>441.64</v>
      </c>
      <c r="AG5" s="55"/>
      <c r="AH5" s="54">
        <f t="shared" si="5"/>
        <v>549.3</v>
      </c>
      <c r="AI5" s="54">
        <f t="shared" si="6"/>
        <v>1129.3</v>
      </c>
      <c r="AJ5" s="54">
        <f t="shared" si="7"/>
        <v>-62.34</v>
      </c>
    </row>
    <row r="6">
      <c r="A6" s="51">
        <v>45778.0</v>
      </c>
      <c r="B6" s="52"/>
      <c r="C6" s="53">
        <v>750.0</v>
      </c>
      <c r="D6" s="54">
        <f t="shared" si="1"/>
        <v>0</v>
      </c>
      <c r="E6" s="55">
        <f>COUNTIFS(
  Clients!$R:$R, "&gt;="&amp;A6,
  Clients!$R:$R, "&lt;"&amp;DATE(YEAR(A6), MONTH(A6)+1, 1)
)</f>
        <v>0</v>
      </c>
      <c r="F6" s="56">
        <f t="shared" si="2"/>
        <v>0</v>
      </c>
      <c r="G6" s="54">
        <v>35.0</v>
      </c>
      <c r="H6" s="52"/>
      <c r="I6" s="54">
        <f t="shared" si="3"/>
        <v>0</v>
      </c>
      <c r="J6" s="55"/>
      <c r="K6" s="56"/>
      <c r="L6" s="54"/>
      <c r="M6" s="55">
        <f>COUNTIFS(
  Clients!$R:$R, "&gt;="&amp;A6,
  Clients!$R:$R, "&lt;"&amp;DATE(YEAR(A6), MONTH(A6)+1, 1),
  Clients!$L:$L, "Découverte"
)</f>
        <v>0</v>
      </c>
      <c r="N6" s="55">
        <f>COUNTIFS(
  Clients!$R:$R, "&gt;="&amp;A6,
  Clients!$R:$R, "&lt;"&amp;DATE(YEAR(A6), MONTH(A6)+1, 1),
  Clients!$L:$L, "Essentiel"
)</f>
        <v>0</v>
      </c>
      <c r="O6" s="55">
        <f>COUNTIFS(
  Clients!$R:$R, "&gt;="&amp;A6,
  Clients!$R:$R, "&lt;"&amp;DATE(YEAR(A6), MONTH(A6)+1, 1),
  Clients!$L:$L, "Premium"
)</f>
        <v>0</v>
      </c>
      <c r="P6" s="54">
        <f>SUMIFS(
  Clients!$S:$S,
  Clients!$R:$R, "&gt;="&amp;A6,
  Clients!$R:$R, "&lt;"&amp;DATE(YEAR(A6), MONTH(A6)+1, 1)
)</f>
        <v>0</v>
      </c>
      <c r="Q6" s="55">
        <f>COUNTIFS(
  Clients!$F:$F, "&gt;="&amp;A6,
  Clients!$F:$F, "&lt;"&amp;DATE(YEAR(A6), MONTH(A6)+1, 1)
)</f>
        <v>7</v>
      </c>
      <c r="R6" s="55">
        <f>COUNTIFS(
  Clients!$F:$F, "&gt;="&amp;A6,
  Clients!$F:$F, "&lt;"&amp;DATE(YEAR(A6), MONTH(A6)+1, 1),
  Clients!$L:$L, "Découverte"
)</f>
        <v>0</v>
      </c>
      <c r="S6" s="55">
        <f>COUNTIFS(
  Clients!$F:$F, "&gt;="&amp;A6,
  Clients!$F:$F, "&lt;"&amp;DATE(YEAR(A6), MONTH(A6)+1, 1),
  Clients!$L:$L, "Essentiel"
)</f>
        <v>2</v>
      </c>
      <c r="T6" s="55">
        <f>COUNTIFS(
  Clients!$F:$F, "&gt;="&amp;A6,
  Clients!$F:$F, "&lt;"&amp;DATE(YEAR(A6), MONTH(A6)+1, 1),
  Clients!$L:$L, "Premium"
)</f>
        <v>5</v>
      </c>
      <c r="U6" s="54">
        <f>SUMIFS(
  Clients!$T:$T,
  Clients!$F:$F, "&gt;="&amp;A6,
  Clients!$F:$F, "&lt;"&amp;DATE(YEAR(A6), MONTH(A6)+1, 1)
)</f>
        <v>3715</v>
      </c>
      <c r="V6" s="54">
        <f>SUMIFS(
  Clients!$S:$S,
  Clients!$F:$F, "&gt;="&amp;A6,
  Clients!$F:$F, "&lt;"&amp;DATE(YEAR(A6), MONTH(A6)+1, 1)
)</f>
        <v>0</v>
      </c>
      <c r="W6" s="54">
        <f>SUMIFS(
  Clients!$U:$U,
  Clients!$F:$F, "&gt;="&amp;A6,
  Clients!$F:$F, "&lt;"&amp;DATE(YEAR(A6), MONTH(A6)+1, 1)
)</f>
        <v>3715</v>
      </c>
      <c r="X6" s="54">
        <f t="shared" si="4"/>
        <v>3715</v>
      </c>
      <c r="Y6" s="55"/>
      <c r="Z6" s="54">
        <f>SUMIFS(
  Clients!$N:$N,
  Clients!$F:$F,"&gt;="&amp;$A6,
  Clients!$F:$F,"&lt;"&amp;DATE(YEAR($A6),MONTH($A6)+1,1)
)</f>
        <v>315</v>
      </c>
      <c r="AA6" s="54">
        <f> R6 * KPI!$C$2
 + S6 * KPI!$C$3
 + T6 * KPI!$C$4</f>
        <v>555</v>
      </c>
      <c r="AB6" s="57">
        <f>SUMIFS(
  Clients!$W:$W,
  Clients!$F:$F,"&gt;="&amp;A6,
  Clients!$F:$F,"&lt;"&amp;DATE(YEAR(A6),MONTH(A6)+1,1)
)</f>
        <v>23</v>
      </c>
      <c r="AC6" s="54">
        <f>SUMIFS(
  Clients!$X:$X,
  Clients!$F:$F,"&gt;="&amp;A6,
  Clients!$F:$F,"&lt;"&amp;DATE(YEAR(A6),MONTH(A6)+1,1)
)</f>
        <v>490</v>
      </c>
      <c r="AD6" s="54">
        <f>SUMIFS(
  Clients!$AA:$AA,
  Clients!$F:$F,"&gt;="&amp;$A6,
  Clients!$F:$F,"&lt;"&amp;DATE(YEAR($A6),MONTH($A6)+1,1)
)</f>
        <v>131.4</v>
      </c>
      <c r="AE6" s="54">
        <f>SUMIFS(
  Clients!$AC:$AC,
  Clients!$R:$R,"&gt;="&amp;$A6,
  Clients!$R:$R,"&lt;"&amp;DATE(YEAR($A6),MONTH($A6)+1,1)
)</f>
        <v>0</v>
      </c>
      <c r="AF6" s="58">
        <f>KPI!$B$29</f>
        <v>441.64</v>
      </c>
      <c r="AG6" s="55"/>
      <c r="AH6" s="54">
        <f t="shared" si="5"/>
        <v>2223.6</v>
      </c>
      <c r="AI6" s="54">
        <f t="shared" si="6"/>
        <v>2853.6</v>
      </c>
      <c r="AJ6" s="54">
        <f t="shared" si="7"/>
        <v>1661.96</v>
      </c>
    </row>
    <row r="7">
      <c r="A7" s="51">
        <v>45809.0</v>
      </c>
      <c r="B7" s="52"/>
      <c r="C7" s="53">
        <v>750.0</v>
      </c>
      <c r="D7" s="54">
        <f t="shared" si="1"/>
        <v>0</v>
      </c>
      <c r="E7" s="55">
        <f>COUNTIFS(
  Clients!$R:$R, "&gt;="&amp;A7,
  Clients!$R:$R, "&lt;"&amp;DATE(YEAR(A7), MONTH(A7)+1, 1)
)</f>
        <v>0</v>
      </c>
      <c r="F7" s="56">
        <f t="shared" si="2"/>
        <v>0</v>
      </c>
      <c r="G7" s="54">
        <v>35.0</v>
      </c>
      <c r="H7" s="52"/>
      <c r="I7" s="54">
        <f t="shared" si="3"/>
        <v>0</v>
      </c>
      <c r="J7" s="55"/>
      <c r="K7" s="56"/>
      <c r="L7" s="54"/>
      <c r="M7" s="55">
        <f>COUNTIFS(
  Clients!$R:$R, "&gt;="&amp;A7,
  Clients!$R:$R, "&lt;"&amp;DATE(YEAR(A7), MONTH(A7)+1, 1),
  Clients!$L:$L, "Découverte"
)</f>
        <v>0</v>
      </c>
      <c r="N7" s="55">
        <f>COUNTIFS(
  Clients!$R:$R, "&gt;="&amp;A7,
  Clients!$R:$R, "&lt;"&amp;DATE(YEAR(A7), MONTH(A7)+1, 1),
  Clients!$L:$L, "Essentiel"
)</f>
        <v>0</v>
      </c>
      <c r="O7" s="55">
        <f>COUNTIFS(
  Clients!$R:$R, "&gt;="&amp;A7,
  Clients!$R:$R, "&lt;"&amp;DATE(YEAR(A7), MONTH(A7)+1, 1),
  Clients!$L:$L, "Premium"
)</f>
        <v>0</v>
      </c>
      <c r="P7" s="54">
        <f>SUMIFS(
  Clients!$S:$S,
  Clients!$R:$R, "&gt;="&amp;A7,
  Clients!$R:$R, "&lt;"&amp;DATE(YEAR(A7), MONTH(A7)+1, 1)
)</f>
        <v>0</v>
      </c>
      <c r="Q7" s="55">
        <f>COUNTIFS(
  Clients!$F:$F, "&gt;="&amp;A7,
  Clients!$F:$F, "&lt;"&amp;DATE(YEAR(A7), MONTH(A7)+1, 1)
)</f>
        <v>5</v>
      </c>
      <c r="R7" s="55">
        <f>COUNTIFS(
  Clients!$F:$F, "&gt;="&amp;A7,
  Clients!$F:$F, "&lt;"&amp;DATE(YEAR(A7), MONTH(A7)+1, 1),
  Clients!$L:$L, "Découverte"
)</f>
        <v>1</v>
      </c>
      <c r="S7" s="55">
        <f>COUNTIFS(
  Clients!$F:$F, "&gt;="&amp;A7,
  Clients!$F:$F, "&lt;"&amp;DATE(YEAR(A7), MONTH(A7)+1, 1),
  Clients!$L:$L, "Essentiel"
)</f>
        <v>1</v>
      </c>
      <c r="T7" s="55">
        <f>COUNTIFS(
  Clients!$F:$F, "&gt;="&amp;A7,
  Clients!$F:$F, "&lt;"&amp;DATE(YEAR(A7), MONTH(A7)+1, 1),
  Clients!$L:$L, "Premium"
)</f>
        <v>3</v>
      </c>
      <c r="U7" s="54">
        <f>SUMIFS(
  Clients!$T:$T,
  Clients!$F:$F, "&gt;="&amp;A7,
  Clients!$F:$F, "&lt;"&amp;DATE(YEAR(A7), MONTH(A7)+1, 1)
)</f>
        <v>2300</v>
      </c>
      <c r="V7" s="54">
        <f>SUMIFS(
  Clients!$S:$S,
  Clients!$F:$F, "&gt;="&amp;A7,
  Clients!$F:$F, "&lt;"&amp;DATE(YEAR(A7), MONTH(A7)+1, 1)
)</f>
        <v>0</v>
      </c>
      <c r="W7" s="54">
        <f>SUMIFS(
  Clients!$U:$U,
  Clients!$F:$F, "&gt;="&amp;A7,
  Clients!$F:$F, "&lt;"&amp;DATE(YEAR(A7), MONTH(A7)+1, 1)
)</f>
        <v>2300</v>
      </c>
      <c r="X7" s="54">
        <f t="shared" si="4"/>
        <v>2300</v>
      </c>
      <c r="Y7" s="55"/>
      <c r="Z7" s="54">
        <f>SUMIFS(
  Clients!$N:$N,
  Clients!$F:$F,"&gt;="&amp;$A7,
  Clients!$F:$F,"&lt;"&amp;DATE(YEAR($A7),MONTH($A7)+1,1)
)</f>
        <v>100</v>
      </c>
      <c r="AA7" s="54">
        <f> R7 * KPI!$C$2
 + S7 * KPI!$C$3
 + T7 * KPI!$C$4</f>
        <v>346.87</v>
      </c>
      <c r="AB7" s="57">
        <f>SUMIFS(
  Clients!$W:$W,
  Clients!$F:$F,"&gt;="&amp;A7,
  Clients!$F:$F,"&lt;"&amp;DATE(YEAR(A7),MONTH(A7)+1,1)
)</f>
        <v>10.5</v>
      </c>
      <c r="AC7" s="54">
        <f>SUMIFS(
  Clients!$X:$X,
  Clients!$F:$F,"&gt;="&amp;A7,
  Clients!$F:$F,"&lt;"&amp;DATE(YEAR(A7),MONTH(A7)+1,1)
)</f>
        <v>350</v>
      </c>
      <c r="AD7" s="54">
        <f>SUMIFS(
  Clients!$AA:$AA,
  Clients!$F:$F,"&gt;="&amp;$A7,
  Clients!$F:$F,"&lt;"&amp;DATE(YEAR($A7),MONTH($A7)+1,1)
)</f>
        <v>58.8</v>
      </c>
      <c r="AE7" s="54">
        <f>SUMIFS(
  Clients!$AC:$AC,
  Clients!$R:$R,"&gt;="&amp;$A7,
  Clients!$R:$R,"&lt;"&amp;DATE(YEAR($A7),MONTH($A7)+1,1)
)</f>
        <v>0</v>
      </c>
      <c r="AF7" s="58">
        <f>KPI!$B$29</f>
        <v>441.64</v>
      </c>
      <c r="AG7" s="55"/>
      <c r="AH7" s="54">
        <f t="shared" si="5"/>
        <v>1444.33</v>
      </c>
      <c r="AI7" s="54">
        <f t="shared" si="6"/>
        <v>1644.33</v>
      </c>
      <c r="AJ7" s="54">
        <f t="shared" si="7"/>
        <v>452.69</v>
      </c>
    </row>
    <row r="8">
      <c r="A8" s="51">
        <v>45839.0</v>
      </c>
      <c r="B8" s="52"/>
      <c r="C8" s="53">
        <v>750.0</v>
      </c>
      <c r="D8" s="54">
        <f t="shared" si="1"/>
        <v>0</v>
      </c>
      <c r="E8" s="55">
        <f>COUNTIFS(
  Clients!$R:$R, "&gt;="&amp;A8,
  Clients!$R:$R, "&lt;"&amp;DATE(YEAR(A8), MONTH(A8)+1, 1)
)</f>
        <v>0</v>
      </c>
      <c r="F8" s="56">
        <f t="shared" si="2"/>
        <v>0</v>
      </c>
      <c r="G8" s="54">
        <v>35.0</v>
      </c>
      <c r="H8" s="52"/>
      <c r="I8" s="54">
        <f t="shared" si="3"/>
        <v>0</v>
      </c>
      <c r="J8" s="55"/>
      <c r="K8" s="56"/>
      <c r="L8" s="54"/>
      <c r="M8" s="55">
        <f>COUNTIFS(
  Clients!$R:$R, "&gt;="&amp;A8,
  Clients!$R:$R, "&lt;"&amp;DATE(YEAR(A8), MONTH(A8)+1, 1),
  Clients!$L:$L, "Découverte"
)</f>
        <v>0</v>
      </c>
      <c r="N8" s="55">
        <f>COUNTIFS(
  Clients!$R:$R, "&gt;="&amp;A8,
  Clients!$R:$R, "&lt;"&amp;DATE(YEAR(A8), MONTH(A8)+1, 1),
  Clients!$L:$L, "Essentiel"
)</f>
        <v>0</v>
      </c>
      <c r="O8" s="55">
        <f>COUNTIFS(
  Clients!$R:$R, "&gt;="&amp;A8,
  Clients!$R:$R, "&lt;"&amp;DATE(YEAR(A8), MONTH(A8)+1, 1),
  Clients!$L:$L, "Premium"
)</f>
        <v>0</v>
      </c>
      <c r="P8" s="54">
        <f>SUMIFS(
  Clients!$S:$S,
  Clients!$R:$R, "&gt;="&amp;A8,
  Clients!$R:$R, "&lt;"&amp;DATE(YEAR(A8), MONTH(A8)+1, 1)
)</f>
        <v>0</v>
      </c>
      <c r="Q8" s="55">
        <f>COUNTIFS(
  Clients!$F:$F, "&gt;="&amp;A8,
  Clients!$F:$F, "&lt;"&amp;DATE(YEAR(A8), MONTH(A8)+1, 1)
)</f>
        <v>3</v>
      </c>
      <c r="R8" s="55">
        <f>COUNTIFS(
  Clients!$F:$F, "&gt;="&amp;A8,
  Clients!$F:$F, "&lt;"&amp;DATE(YEAR(A8), MONTH(A8)+1, 1),
  Clients!$L:$L, "Découverte"
)</f>
        <v>0</v>
      </c>
      <c r="S8" s="55">
        <f>COUNTIFS(
  Clients!$F:$F, "&gt;="&amp;A8,
  Clients!$F:$F, "&lt;"&amp;DATE(YEAR(A8), MONTH(A8)+1, 1),
  Clients!$L:$L, "Essentiel"
)</f>
        <v>0</v>
      </c>
      <c r="T8" s="55">
        <f>COUNTIFS(
  Clients!$F:$F, "&gt;="&amp;A8,
  Clients!$F:$F, "&lt;"&amp;DATE(YEAR(A8), MONTH(A8)+1, 1),
  Clients!$L:$L, "Premium"
)</f>
        <v>3</v>
      </c>
      <c r="U8" s="54">
        <f>SUMIFS(
  Clients!$T:$T,
  Clients!$F:$F, "&gt;="&amp;A8,
  Clients!$F:$F, "&lt;"&amp;DATE(YEAR(A8), MONTH(A8)+1, 1)
)</f>
        <v>1845</v>
      </c>
      <c r="V8" s="54">
        <f>SUMIFS(
  Clients!$S:$S,
  Clients!$F:$F, "&gt;="&amp;A8,
  Clients!$F:$F, "&lt;"&amp;DATE(YEAR(A8), MONTH(A8)+1, 1)
)</f>
        <v>0</v>
      </c>
      <c r="W8" s="54">
        <f>SUMIFS(
  Clients!$U:$U,
  Clients!$F:$F, "&gt;="&amp;A8,
  Clients!$F:$F, "&lt;"&amp;DATE(YEAR(A8), MONTH(A8)+1, 1)
)</f>
        <v>1845</v>
      </c>
      <c r="X8" s="54">
        <f t="shared" si="4"/>
        <v>1845</v>
      </c>
      <c r="Y8" s="55"/>
      <c r="Z8" s="54">
        <f>SUMIFS(
  Clients!$N:$N,
  Clients!$F:$F,"&gt;="&amp;$A8,
  Clients!$F:$F,"&lt;"&amp;DATE(YEAR($A8),MONTH($A8)+1,1)
)</f>
        <v>345</v>
      </c>
      <c r="AA8" s="54">
        <f> R8 * KPI!$C$2
 + S8 * KPI!$C$3
 + T8 * KPI!$C$4</f>
        <v>277.5</v>
      </c>
      <c r="AB8" s="57">
        <f>SUMIFS(
  Clients!$W:$W,
  Clients!$F:$F,"&gt;="&amp;A8,
  Clients!$F:$F,"&lt;"&amp;DATE(YEAR(A8),MONTH(A8)+1,1)
)</f>
        <v>20.5</v>
      </c>
      <c r="AC8" s="54">
        <f>SUMIFS(
  Clients!$X:$X,
  Clients!$F:$F,"&gt;="&amp;A8,
  Clients!$F:$F,"&lt;"&amp;DATE(YEAR(A8),MONTH(A8)+1,1)
)</f>
        <v>210</v>
      </c>
      <c r="AD8" s="54">
        <f>SUMIFS(
  Clients!$AA:$AA,
  Clients!$F:$F,"&gt;="&amp;$A8,
  Clients!$F:$F,"&lt;"&amp;DATE(YEAR($A8),MONTH($A8)+1,1)
)</f>
        <v>198</v>
      </c>
      <c r="AE8" s="54">
        <f>SUMIFS(
  Clients!$AC:$AC,
  Clients!$R:$R,"&gt;="&amp;$A8,
  Clients!$R:$R,"&lt;"&amp;DATE(YEAR($A8),MONTH($A8)+1,1)
)</f>
        <v>0</v>
      </c>
      <c r="AF8" s="58">
        <f>KPI!$B$29</f>
        <v>441.64</v>
      </c>
      <c r="AG8" s="55"/>
      <c r="AH8" s="54">
        <f t="shared" si="5"/>
        <v>814.5</v>
      </c>
      <c r="AI8" s="54">
        <f t="shared" si="6"/>
        <v>1504.5</v>
      </c>
      <c r="AJ8" s="54">
        <f t="shared" si="7"/>
        <v>312.86</v>
      </c>
    </row>
    <row r="9">
      <c r="A9" s="51">
        <v>45870.0</v>
      </c>
      <c r="B9" s="52"/>
      <c r="C9" s="53">
        <v>750.0</v>
      </c>
      <c r="D9" s="54">
        <f t="shared" si="1"/>
        <v>0</v>
      </c>
      <c r="E9" s="55">
        <f>COUNTIFS(
  Clients!$R:$R, "&gt;="&amp;A9,
  Clients!$R:$R, "&lt;"&amp;DATE(YEAR(A9), MONTH(A9)+1, 1)
)</f>
        <v>1</v>
      </c>
      <c r="F9" s="56">
        <f t="shared" si="2"/>
        <v>0</v>
      </c>
      <c r="G9" s="54">
        <v>35.0</v>
      </c>
      <c r="H9" s="52"/>
      <c r="I9" s="54">
        <f t="shared" si="3"/>
        <v>0</v>
      </c>
      <c r="J9" s="55"/>
      <c r="K9" s="56"/>
      <c r="L9" s="54"/>
      <c r="M9" s="55">
        <f>COUNTIFS(
  Clients!$R:$R, "&gt;="&amp;A9,
  Clients!$R:$R, "&lt;"&amp;DATE(YEAR(A9), MONTH(A9)+1, 1),
  Clients!$L:$L, "Découverte"
)</f>
        <v>0</v>
      </c>
      <c r="N9" s="55">
        <f>COUNTIFS(
  Clients!$R:$R, "&gt;="&amp;A9,
  Clients!$R:$R, "&lt;"&amp;DATE(YEAR(A9), MONTH(A9)+1, 1),
  Clients!$L:$L, "Essentiel"
)</f>
        <v>0</v>
      </c>
      <c r="O9" s="55">
        <f>COUNTIFS(
  Clients!$R:$R, "&gt;="&amp;A9,
  Clients!$R:$R, "&lt;"&amp;DATE(YEAR(A9), MONTH(A9)+1, 1),
  Clients!$L:$L, "Premium"
)</f>
        <v>1</v>
      </c>
      <c r="P9" s="54">
        <f>SUMIFS(
  Clients!$S:$S,
  Clients!$R:$R, "&gt;="&amp;A9,
  Clients!$R:$R, "&lt;"&amp;DATE(YEAR(A9), MONTH(A9)+1, 1)
)</f>
        <v>0</v>
      </c>
      <c r="Q9" s="55">
        <f>COUNTIFS(
  Clients!$F:$F, "&gt;="&amp;A9,
  Clients!$F:$F, "&lt;"&amp;DATE(YEAR(A9), MONTH(A9)+1, 1)
)</f>
        <v>11</v>
      </c>
      <c r="R9" s="55">
        <f>COUNTIFS(
  Clients!$F:$F, "&gt;="&amp;A9,
  Clients!$F:$F, "&lt;"&amp;DATE(YEAR(A9), MONTH(A9)+1, 1),
  Clients!$L:$L, "Découverte"
)</f>
        <v>0</v>
      </c>
      <c r="S9" s="55">
        <f>COUNTIFS(
  Clients!$F:$F, "&gt;="&amp;A9,
  Clients!$F:$F, "&lt;"&amp;DATE(YEAR(A9), MONTH(A9)+1, 1),
  Clients!$L:$L, "Essentiel"
)</f>
        <v>4</v>
      </c>
      <c r="T9" s="55">
        <f>COUNTIFS(
  Clients!$F:$F, "&gt;="&amp;A9,
  Clients!$F:$F, "&lt;"&amp;DATE(YEAR(A9), MONTH(A9)+1, 1),
  Clients!$L:$L, "Premium"
)</f>
        <v>6</v>
      </c>
      <c r="U9" s="54">
        <f>SUMIFS(
  Clients!$T:$T,
  Clients!$F:$F, "&gt;="&amp;A9,
  Clients!$F:$F, "&lt;"&amp;DATE(YEAR(A9), MONTH(A9)+1, 1)
)</f>
        <v>6430</v>
      </c>
      <c r="V9" s="54">
        <f>SUMIFS(
  Clients!$S:$S,
  Clients!$F:$F, "&gt;="&amp;A9,
  Clients!$F:$F, "&lt;"&amp;DATE(YEAR(A9), MONTH(A9)+1, 1)
)</f>
        <v>0</v>
      </c>
      <c r="W9" s="54">
        <f>SUMIFS(
  Clients!$U:$U,
  Clients!$F:$F, "&gt;="&amp;A9,
  Clients!$F:$F, "&lt;"&amp;DATE(YEAR(A9), MONTH(A9)+1, 1)
)</f>
        <v>6430</v>
      </c>
      <c r="X9" s="54">
        <f t="shared" si="4"/>
        <v>6430</v>
      </c>
      <c r="Y9" s="55"/>
      <c r="Z9" s="54">
        <f>SUMIFS(
  Clients!$N:$N,
  Clients!$F:$F,"&gt;="&amp;$A9,
  Clients!$F:$F,"&lt;"&amp;DATE(YEAR($A9),MONTH($A9)+1,1)
)</f>
        <v>980</v>
      </c>
      <c r="AA9" s="54">
        <f> R9 * KPI!$C$2
 + S9 * KPI!$C$3
 + T9 * KPI!$C$4</f>
        <v>740</v>
      </c>
      <c r="AB9" s="57">
        <f>SUMIFS(
  Clients!$W:$W,
  Clients!$F:$F,"&gt;="&amp;A9,
  Clients!$F:$F,"&lt;"&amp;DATE(YEAR(A9),MONTH(A9)+1,1)
)</f>
        <v>56.5</v>
      </c>
      <c r="AC9" s="54">
        <f>SUMIFS(
  Clients!$X:$X,
  Clients!$F:$F,"&gt;="&amp;A9,
  Clients!$F:$F,"&lt;"&amp;DATE(YEAR(A9),MONTH(A9)+1,1)
)</f>
        <v>770</v>
      </c>
      <c r="AD9" s="54">
        <f>SUMIFS(
  Clients!$AA:$AA,
  Clients!$F:$F,"&gt;="&amp;$A9,
  Clients!$F:$F,"&lt;"&amp;DATE(YEAR($A9),MONTH($A9)+1,1)
)</f>
        <v>522</v>
      </c>
      <c r="AE9" s="54">
        <f>SUMIFS(
  Clients!$AC:$AC,
  Clients!$R:$R,"&gt;="&amp;$A9,
  Clients!$R:$R,"&lt;"&amp;DATE(YEAR($A9),MONTH($A9)+1,1)
)</f>
        <v>0</v>
      </c>
      <c r="AF9" s="58">
        <f>KPI!$B$29</f>
        <v>441.64</v>
      </c>
      <c r="AG9" s="55"/>
      <c r="AH9" s="54">
        <f t="shared" si="5"/>
        <v>3418</v>
      </c>
      <c r="AI9" s="54">
        <f t="shared" si="6"/>
        <v>5378</v>
      </c>
      <c r="AJ9" s="54">
        <f t="shared" si="7"/>
        <v>4186.36</v>
      </c>
    </row>
    <row r="10">
      <c r="A10" s="51">
        <v>45901.0</v>
      </c>
      <c r="B10" s="52">
        <v>217.0</v>
      </c>
      <c r="C10" s="54">
        <f>294.23 + 95.34 + 59.01 + 34.72 + 4.94</f>
        <v>488.24</v>
      </c>
      <c r="D10" s="59">
        <f t="shared" si="1"/>
        <v>2.249953917</v>
      </c>
      <c r="E10" s="55">
        <f>COUNTIFS(
  Clients!$R:$R, "&gt;="&amp;A10,
  Clients!$R:$R, "&lt;"&amp;DATE(YEAR(A10), MONTH(A10)+1, 1)
)</f>
        <v>15</v>
      </c>
      <c r="F10" s="60">
        <f t="shared" si="2"/>
        <v>0.06912442396</v>
      </c>
      <c r="G10" s="54">
        <f t="shared" ref="G10:G13" si="8">IF(E10=0, 0, C10/E10)</f>
        <v>32.54933333</v>
      </c>
      <c r="H10" s="52"/>
      <c r="I10" s="54">
        <f t="shared" si="3"/>
        <v>0</v>
      </c>
      <c r="J10" s="55"/>
      <c r="K10" s="56">
        <f t="shared" ref="K10:K13" si="9">IF(H10=0, 0, J10/H10)</f>
        <v>0</v>
      </c>
      <c r="L10" s="54">
        <f t="shared" ref="L10:L13" si="10">IF(J10=0, 0, #REF!/J10)</f>
        <v>0</v>
      </c>
      <c r="M10" s="55">
        <f>COUNTIFS(
  Clients!$R:$R, "&gt;="&amp;A10,
  Clients!$R:$R, "&lt;"&amp;DATE(YEAR(A10), MONTH(A10)+1, 1),
  Clients!$L:$L, "Découverte"
)</f>
        <v>4</v>
      </c>
      <c r="N10" s="55">
        <f>COUNTIFS(
  Clients!$R:$R, "&gt;="&amp;A10,
  Clients!$R:$R, "&lt;"&amp;DATE(YEAR(A10), MONTH(A10)+1, 1),
  Clients!$L:$L, "Essentiel"
)</f>
        <v>8</v>
      </c>
      <c r="O10" s="55">
        <f>COUNTIFS(
  Clients!$R:$R, "&gt;="&amp;A10,
  Clients!$R:$R, "&lt;"&amp;DATE(YEAR(A10), MONTH(A10)+1, 1),
  Clients!$L:$L, "Premium"
)</f>
        <v>3</v>
      </c>
      <c r="P10" s="54">
        <f>SUMIFS(
  Clients!$S:$S,
  Clients!$R:$R, "&gt;="&amp;A10,
  Clients!$R:$R, "&lt;"&amp;DATE(YEAR(A10), MONTH(A10)+1, 1)
)</f>
        <v>2250</v>
      </c>
      <c r="Q10" s="55">
        <f>COUNTIFS(
  Clients!$F:$F, "&gt;="&amp;A10,
  Clients!$F:$F, "&lt;"&amp;DATE(YEAR(A10), MONTH(A10)+1, 1)
)</f>
        <v>10</v>
      </c>
      <c r="R10" s="55">
        <f>COUNTIFS(
  Clients!$F:$F, "&gt;="&amp;A10,
  Clients!$F:$F, "&lt;"&amp;DATE(YEAR(A10), MONTH(A10)+1, 1),
  Clients!$L:$L, "Découverte"
)</f>
        <v>1</v>
      </c>
      <c r="S10" s="55">
        <f>COUNTIFS(
  Clients!$F:$F, "&gt;="&amp;A10,
  Clients!$F:$F, "&lt;"&amp;DATE(YEAR(A10), MONTH(A10)+1, 1),
  Clients!$L:$L, "Essentiel"
)</f>
        <v>3</v>
      </c>
      <c r="T10" s="55">
        <f>COUNTIFS(
  Clients!$F:$F, "&gt;="&amp;A10,
  Clients!$F:$F, "&lt;"&amp;DATE(YEAR(A10), MONTH(A10)+1, 1),
  Clients!$L:$L, "Premium"
)</f>
        <v>6</v>
      </c>
      <c r="U10" s="54">
        <f>SUMIFS(
  Clients!$T:$T,
  Clients!$F:$F, "&gt;="&amp;A10,
  Clients!$F:$F, "&lt;"&amp;DATE(YEAR(A10), MONTH(A10)+1, 1)
)</f>
        <v>6510</v>
      </c>
      <c r="V10" s="54">
        <f>SUMIFS(
  Clients!$S:$S,
  Clients!$F:$F, "&gt;="&amp;A10,
  Clients!$F:$F, "&lt;"&amp;DATE(YEAR(A10), MONTH(A10)+1, 1)
)</f>
        <v>150</v>
      </c>
      <c r="W10" s="54">
        <f>SUMIFS(
  Clients!$U:$U,
  Clients!$F:$F, "&gt;="&amp;A10,
  Clients!$F:$F, "&lt;"&amp;DATE(YEAR(A10), MONTH(A10)+1, 1)
)</f>
        <v>6360</v>
      </c>
      <c r="X10" s="54">
        <f t="shared" si="4"/>
        <v>8610</v>
      </c>
      <c r="Y10" s="54">
        <f>SUMIFS(
  Clients!T:T,
  Clients!R:R, "&gt;=" &amp; DATE(YEAR(A10), MONTH(A10), 1),
  Clients!R:R, "&lt;" &amp; DATE(YEAR(A10), MONTH(A10)+1, 1)
)</f>
        <v>6450</v>
      </c>
      <c r="Z10" s="54">
        <f>SUMIFS(
  Clients!$N:$N,
  Clients!$F:$F,"&gt;="&amp;$A10,
  Clients!$F:$F,"&lt;"&amp;DATE(YEAR($A10),MONTH($A10)+1,1)
)</f>
        <v>700.5</v>
      </c>
      <c r="AA10" s="54">
        <f> R10 * KPI!$C$2
 + S10 * KPI!$C$3
 + T10 * KPI!$C$4</f>
        <v>716.87</v>
      </c>
      <c r="AB10" s="57">
        <f>SUMIFS(
  Clients!$W:$W,
  Clients!$F:$F,"&gt;="&amp;A10,
  Clients!$F:$F,"&lt;"&amp;DATE(YEAR(A10),MONTH(A10)+1,1)
)</f>
        <v>45.5</v>
      </c>
      <c r="AC10" s="54">
        <f>SUMIFS(
  Clients!$X:$X,
  Clients!$F:$F,"&gt;="&amp;A10,
  Clients!$F:$F,"&lt;"&amp;DATE(YEAR(A10),MONTH(A10)+1,1)
)</f>
        <v>700</v>
      </c>
      <c r="AD10" s="54">
        <f>SUMIFS(
  Clients!$AA:$AA,
  Clients!$F:$F,"&gt;="&amp;$A10,
  Clients!$F:$F,"&lt;"&amp;DATE(YEAR($A10),MONTH($A10)+1,1)
)</f>
        <v>343.8</v>
      </c>
      <c r="AE10" s="54">
        <f>SUMIFS(
  Clients!$AC:$AC,
  Clients!$R:$R,"&gt;="&amp;$A10,
  Clients!$R:$R,"&lt;"&amp;DATE(YEAR($A10),MONTH($A10)+1,1)
)</f>
        <v>0</v>
      </c>
      <c r="AF10" s="58">
        <f>KPI!$B$29</f>
        <v>441.64</v>
      </c>
      <c r="AG10" s="59">
        <f t="shared" ref="AG10:AG13" si="11"> U10 - AA10</f>
        <v>5793.13</v>
      </c>
      <c r="AH10" s="59">
        <f t="shared" ref="AH10:AH13" si="12"> U10 - AA10 - AC10 - AD10</f>
        <v>4749.33</v>
      </c>
      <c r="AI10" s="59">
        <f t="shared" si="6"/>
        <v>7549.83</v>
      </c>
      <c r="AJ10" s="59">
        <f t="shared" si="7"/>
        <v>6619.95</v>
      </c>
    </row>
    <row r="11">
      <c r="A11" s="51">
        <v>45931.0</v>
      </c>
      <c r="B11" s="52">
        <v>278.0</v>
      </c>
      <c r="C11" s="54">
        <f>94.42+2.56+16.72+827.63+32.1</f>
        <v>973.43</v>
      </c>
      <c r="D11" s="59">
        <f t="shared" si="1"/>
        <v>3.501546763</v>
      </c>
      <c r="E11" s="55">
        <f>COUNTIFS(
  Clients!$R:$R, "&gt;="&amp;A11,
  Clients!$R:$R, "&lt;"&amp;DATE(YEAR(A11), MONTH(A11)+1, 1)
)</f>
        <v>23</v>
      </c>
      <c r="F11" s="60">
        <f t="shared" si="2"/>
        <v>0.08273381295</v>
      </c>
      <c r="G11" s="54">
        <f t="shared" si="8"/>
        <v>42.32304348</v>
      </c>
      <c r="H11" s="52"/>
      <c r="I11" s="54">
        <f t="shared" si="3"/>
        <v>0</v>
      </c>
      <c r="J11" s="55"/>
      <c r="K11" s="56">
        <f t="shared" si="9"/>
        <v>0</v>
      </c>
      <c r="L11" s="54">
        <f t="shared" si="10"/>
        <v>0</v>
      </c>
      <c r="M11" s="55">
        <f>COUNTIFS(
  Clients!$R:$R, "&gt;="&amp;A11,
  Clients!$R:$R, "&lt;"&amp;DATE(YEAR(A11), MONTH(A11)+1, 1),
  Clients!$L:$L, "Découverte"
)</f>
        <v>10</v>
      </c>
      <c r="N11" s="55">
        <f>COUNTIFS(
  Clients!$R:$R, "&gt;="&amp;A11,
  Clients!$R:$R, "&lt;"&amp;DATE(YEAR(A11), MONTH(A11)+1, 1),
  Clients!$L:$L, "Essentiel"
)</f>
        <v>9</v>
      </c>
      <c r="O11" s="55">
        <f>COUNTIFS(
  Clients!$R:$R, "&gt;="&amp;A11,
  Clients!$R:$R, "&lt;"&amp;DATE(YEAR(A11), MONTH(A11)+1, 1),
  Clients!$L:$L, "Premium"
)</f>
        <v>4</v>
      </c>
      <c r="P11" s="54">
        <f>SUMIFS(
  Clients!$S:$S,
  Clients!$R:$R, "&gt;="&amp;A11,
  Clients!$R:$R, "&lt;"&amp;DATE(YEAR(A11), MONTH(A11)+1, 1)
)</f>
        <v>3450</v>
      </c>
      <c r="Q11" s="55">
        <f>COUNTIFS(
  Clients!$F:$F, "&gt;="&amp;A11,
  Clients!$F:$F, "&lt;"&amp;DATE(YEAR(A11), MONTH(A11)+1, 1)
)</f>
        <v>9</v>
      </c>
      <c r="R11" s="55">
        <f>COUNTIFS(
  Clients!$F:$F, "&gt;="&amp;A11,
  Clients!$F:$F, "&lt;"&amp;DATE(YEAR(A11), MONTH(A11)+1, 1),
  Clients!$L:$L, "Découverte"
)</f>
        <v>4</v>
      </c>
      <c r="S11" s="55">
        <f>COUNTIFS(
  Clients!$F:$F, "&gt;="&amp;A11,
  Clients!$F:$F, "&lt;"&amp;DATE(YEAR(A11), MONTH(A11)+1, 1),
  Clients!$L:$L, "Essentiel"
)</f>
        <v>2</v>
      </c>
      <c r="T11" s="55">
        <f>COUNTIFS(
  Clients!$F:$F, "&gt;="&amp;A11,
  Clients!$F:$F, "&lt;"&amp;DATE(YEAR(A11), MONTH(A11)+1, 1),
  Clients!$L:$L, "Premium"
)</f>
        <v>3</v>
      </c>
      <c r="U11" s="54">
        <f>SUMIFS(
  Clients!$T:$T,
  Clients!$F:$F, "&gt;="&amp;A11,
  Clients!$F:$F, "&lt;"&amp;DATE(YEAR(A11), MONTH(A11)+1, 1)
)</f>
        <v>3995</v>
      </c>
      <c r="V11" s="54">
        <f>SUMIFS(
  Clients!$S:$S,
  Clients!$F:$F, "&gt;="&amp;A11,
  Clients!$F:$F, "&lt;"&amp;DATE(YEAR(A11), MONTH(A11)+1, 1)
)</f>
        <v>900</v>
      </c>
      <c r="W11" s="54">
        <f>SUMIFS(
  Clients!$U:$U,
  Clients!$F:$F, "&gt;="&amp;A11,
  Clients!$F:$F, "&lt;"&amp;DATE(YEAR(A11), MONTH(A11)+1, 1)
)</f>
        <v>3095</v>
      </c>
      <c r="X11" s="54">
        <f t="shared" si="4"/>
        <v>6545</v>
      </c>
      <c r="Y11" s="54">
        <f>SUMIFS(
  Clients!T:T,
  Clients!R:R, "&gt;=" &amp; DATE(YEAR(A11), MONTH(A11), 1),
  Clients!R:R, "&lt;" &amp; DATE(YEAR(A11), MONTH(A11)+1, 1)
)</f>
        <v>10160</v>
      </c>
      <c r="Z11" s="54">
        <f>SUMIFS(
  Clients!$N:$N,
  Clients!$F:$F,"&gt;="&amp;$A11,
  Clients!$F:$F,"&lt;"&amp;DATE(YEAR($A11),MONTH($A11)+1,1)
)</f>
        <v>595</v>
      </c>
      <c r="AA11" s="54">
        <f> R11 * KPI!$C$2
 + S11 * KPI!$C$3
 + T11 * KPI!$C$4</f>
        <v>462.48</v>
      </c>
      <c r="AB11" s="57">
        <f>SUMIFS(
  Clients!$W:$W,
  Clients!$F:$F,"&gt;="&amp;A11,
  Clients!$F:$F,"&lt;"&amp;DATE(YEAR(A11),MONTH(A11)+1,1)
)</f>
        <v>36.5</v>
      </c>
      <c r="AC11" s="54">
        <f t="shared" ref="AC11:AC13" si="13">AB11*14</f>
        <v>511</v>
      </c>
      <c r="AD11" s="54">
        <f>SUMIFS(
  Clients!$AA:$AA,
  Clients!$F:$F,"&gt;="&amp;$A11,
  Clients!$F:$F,"&lt;"&amp;DATE(YEAR($A11),MONTH($A11)+1,1)
)</f>
        <v>266.4</v>
      </c>
      <c r="AE11" s="54">
        <f>SUMIFS(
  Clients!$AC:$AC,
  Clients!$R:$R,"&gt;="&amp;$A11,
  Clients!$R:$R,"&lt;"&amp;DATE(YEAR($A11),MONTH($A11)+1,1)
)</f>
        <v>170</v>
      </c>
      <c r="AF11" s="58">
        <f>KPI!$B$29</f>
        <v>441.64</v>
      </c>
      <c r="AG11" s="59">
        <f t="shared" si="11"/>
        <v>3532.52</v>
      </c>
      <c r="AH11" s="59">
        <f t="shared" si="12"/>
        <v>2755.12</v>
      </c>
      <c r="AI11" s="59">
        <f t="shared" si="6"/>
        <v>5730.12</v>
      </c>
      <c r="AJ11" s="59">
        <f t="shared" si="7"/>
        <v>4315.05</v>
      </c>
    </row>
    <row r="12">
      <c r="A12" s="51">
        <v>45962.0</v>
      </c>
      <c r="B12" s="52">
        <v>194.0</v>
      </c>
      <c r="C12" s="53">
        <v>1019.49</v>
      </c>
      <c r="D12" s="59">
        <f t="shared" si="1"/>
        <v>5.255103093</v>
      </c>
      <c r="E12" s="55">
        <f>COUNTIFS(
  Clients!$R:$R, "&gt;="&amp;A12,
  Clients!$R:$R, "&lt;"&amp;DATE(YEAR(A12), MONTH(A12)+1, 1)
)</f>
        <v>19</v>
      </c>
      <c r="F12" s="60">
        <f t="shared" si="2"/>
        <v>0.09793814433</v>
      </c>
      <c r="G12" s="54">
        <f t="shared" si="8"/>
        <v>53.65736842</v>
      </c>
      <c r="H12" s="52"/>
      <c r="I12" s="54">
        <f t="shared" si="3"/>
        <v>0</v>
      </c>
      <c r="J12" s="55"/>
      <c r="K12" s="56">
        <f t="shared" si="9"/>
        <v>0</v>
      </c>
      <c r="L12" s="54">
        <f t="shared" si="10"/>
        <v>0</v>
      </c>
      <c r="M12" s="55">
        <f>COUNTIFS(
  Clients!$R:$R, "&gt;="&amp;A12,
  Clients!$R:$R, "&lt;"&amp;DATE(YEAR(A12), MONTH(A12)+1, 1),
  Clients!$L:$L, "Découverte"
)</f>
        <v>2</v>
      </c>
      <c r="N12" s="55">
        <f>COUNTIFS(
  Clients!$R:$R, "&gt;="&amp;A12,
  Clients!$R:$R, "&lt;"&amp;DATE(YEAR(A12), MONTH(A12)+1, 1),
  Clients!$L:$L, "Essentiel"
)</f>
        <v>15</v>
      </c>
      <c r="O12" s="55">
        <f>COUNTIFS(
  Clients!$R:$R, "&gt;="&amp;A12,
  Clients!$R:$R, "&lt;"&amp;DATE(YEAR(A12), MONTH(A12)+1, 1),
  Clients!$L:$L, "Premium"
)</f>
        <v>2</v>
      </c>
      <c r="P12" s="54">
        <f>SUMIFS(
  Clients!$S:$S,
  Clients!$R:$R, "&gt;="&amp;A12,
  Clients!$R:$R, "&lt;"&amp;DATE(YEAR(A12), MONTH(A12)+1, 1)
)</f>
        <v>2850</v>
      </c>
      <c r="Q12" s="55">
        <f>COUNTIFS(
  Clients!$F:$F, "&gt;="&amp;A12,
  Clients!$F:$F, "&lt;"&amp;DATE(YEAR(A12), MONTH(A12)+1, 1)
)</f>
        <v>6</v>
      </c>
      <c r="R12" s="55">
        <f>COUNTIFS(
  Clients!$F:$F, "&gt;="&amp;A12,
  Clients!$F:$F, "&lt;"&amp;DATE(YEAR(A12), MONTH(A12)+1, 1),
  Clients!$L:$L, "Découverte"
)</f>
        <v>4</v>
      </c>
      <c r="S12" s="55">
        <f>COUNTIFS(
  Clients!$F:$F, "&gt;="&amp;A12,
  Clients!$F:$F, "&lt;"&amp;DATE(YEAR(A12), MONTH(A12)+1, 1),
  Clients!$L:$L, "Essentiel"
)</f>
        <v>2</v>
      </c>
      <c r="T12" s="55">
        <f>COUNTIFS(
  Clients!$F:$F, "&gt;="&amp;A12,
  Clients!$F:$F, "&lt;"&amp;DATE(YEAR(A12), MONTH(A12)+1, 1),
  Clients!$L:$L, "Premium"
)</f>
        <v>0</v>
      </c>
      <c r="U12" s="54">
        <f>SUMIFS(
  Clients!$T:$T,
  Clients!$F:$F, "&gt;="&amp;A12,
  Clients!$F:$F, "&lt;"&amp;DATE(YEAR(A12), MONTH(A12)+1, 1)
)</f>
        <v>2223</v>
      </c>
      <c r="V12" s="54">
        <f>SUMIFS(
  Clients!$S:$S,
  Clients!$F:$F, "&gt;="&amp;A12,
  Clients!$F:$F, "&lt;"&amp;DATE(YEAR(A12), MONTH(A12)+1, 1)
)</f>
        <v>750</v>
      </c>
      <c r="W12" s="54">
        <f>SUMIFS(
  Clients!$U:$U,
  Clients!$F:$F, "&gt;="&amp;A12,
  Clients!$F:$F, "&lt;"&amp;DATE(YEAR(A12), MONTH(A12)+1, 1)
)</f>
        <v>1473</v>
      </c>
      <c r="X12" s="54">
        <f t="shared" si="4"/>
        <v>4323</v>
      </c>
      <c r="Y12" s="54">
        <f>SUMIFS(
  Clients!T:T,
  Clients!R:R, "&gt;=" &amp; DATE(YEAR(A12), MONTH(A12), 1),
  Clients!R:R, "&lt;" &amp; DATE(YEAR(A12), MONTH(A12)+1, 1)
)</f>
        <v>9050</v>
      </c>
      <c r="Z12" s="54">
        <f>SUMIFS(
  Clients!$N:$N,
  Clients!$F:$F,"&gt;="&amp;$A12,
  Clients!$F:$F,"&lt;"&amp;DATE(YEAR($A12),MONTH($A12)+1,1)
)</f>
        <v>370</v>
      </c>
      <c r="AA12" s="54">
        <f> R12 * KPI!$C$2
 + S12 * KPI!$C$3
 + T12 * KPI!$C$4</f>
        <v>184.98</v>
      </c>
      <c r="AB12" s="57">
        <f>SUMIFS(
  Clients!$W:$W,
  Clients!$F:$F,"&gt;="&amp;A12,
  Clients!$F:$F,"&lt;"&amp;DATE(YEAR(A12),MONTH(A12)+1,1)
)</f>
        <v>21</v>
      </c>
      <c r="AC12" s="54">
        <f t="shared" si="13"/>
        <v>294</v>
      </c>
      <c r="AD12" s="54">
        <f>SUMIFS(
  Clients!$AA:$AA,
  Clients!$F:$F,"&gt;="&amp;$A12,
  Clients!$F:$F,"&lt;"&amp;DATE(YEAR($A12),MONTH($A12)+1,1)
)</f>
        <v>128.4</v>
      </c>
      <c r="AE12" s="54">
        <f>SUMIFS(
  Clients!$AC:$AC,
  Clients!$R:$R,"&gt;="&amp;$A12,
  Clients!$R:$R,"&lt;"&amp;DATE(YEAR($A12),MONTH($A12)+1,1)
)</f>
        <v>270</v>
      </c>
      <c r="AF12" s="58">
        <f>KPI!$B$29</f>
        <v>441.64</v>
      </c>
      <c r="AG12" s="59">
        <f t="shared" si="11"/>
        <v>2038.02</v>
      </c>
      <c r="AH12" s="59">
        <f t="shared" si="12"/>
        <v>1615.62</v>
      </c>
      <c r="AI12" s="59">
        <f t="shared" si="6"/>
        <v>3815.62</v>
      </c>
      <c r="AJ12" s="59">
        <f t="shared" si="7"/>
        <v>2354.49</v>
      </c>
    </row>
    <row r="13">
      <c r="A13" s="51">
        <v>45992.0</v>
      </c>
      <c r="B13" s="52">
        <v>172.0</v>
      </c>
      <c r="C13" s="54">
        <f>812.41+98.53</f>
        <v>910.94</v>
      </c>
      <c r="D13" s="59">
        <f t="shared" si="1"/>
        <v>5.296162791</v>
      </c>
      <c r="E13" s="55">
        <f>COUNTIFS(
  Clients!$R:$R, "&gt;="&amp;A13,
  Clients!$R:$R, "&lt;"&amp;DATE(YEAR(A13), MONTH(A13)+1, 1)
)</f>
        <v>11</v>
      </c>
      <c r="F13" s="60">
        <f t="shared" si="2"/>
        <v>0.06395348837</v>
      </c>
      <c r="G13" s="54">
        <f t="shared" si="8"/>
        <v>82.81272727</v>
      </c>
      <c r="H13" s="52">
        <v>193.0</v>
      </c>
      <c r="I13" s="54">
        <f>IF(H13=0, 0, C13/H13)</f>
        <v>4.719896373</v>
      </c>
      <c r="J13" s="55"/>
      <c r="K13" s="56">
        <f t="shared" si="9"/>
        <v>0</v>
      </c>
      <c r="L13" s="54">
        <f t="shared" si="10"/>
        <v>0</v>
      </c>
      <c r="M13" s="55">
        <f>COUNTIFS(
  Clients!$R:$R, "&gt;="&amp;A13,
  Clients!$R:$R, "&lt;"&amp;DATE(YEAR(A13), MONTH(A13)+1, 1),
  Clients!$L:$L, "Découverte"
)</f>
        <v>1</v>
      </c>
      <c r="N13" s="55">
        <f>COUNTIFS(
  Clients!$R:$R, "&gt;="&amp;A13,
  Clients!$R:$R, "&lt;"&amp;DATE(YEAR(A13), MONTH(A13)+1, 1),
  Clients!$L:$L, "Essentiel"
)</f>
        <v>7</v>
      </c>
      <c r="O13" s="55">
        <f>COUNTIFS(
  Clients!$R:$R, "&gt;="&amp;A13,
  Clients!$R:$R, "&lt;"&amp;DATE(YEAR(A13), MONTH(A13)+1, 1),
  Clients!$L:$L, "Premium"
)</f>
        <v>3</v>
      </c>
      <c r="P13" s="54">
        <f>SUMIFS(
  Clients!$S:$S,
  Clients!$R:$R, "&gt;="&amp;A13,
  Clients!$R:$R, "&lt;"&amp;DATE(YEAR(A13), MONTH(A13)+1, 1)
)</f>
        <v>1977</v>
      </c>
      <c r="Q13" s="55">
        <f>COUNTIFS(
  Clients!$F:$F, "&gt;="&amp;A13,
  Clients!$F:$F, "&lt;"&amp;DATE(YEAR(A13), MONTH(A13)+1, 1)
)</f>
        <v>7</v>
      </c>
      <c r="R13" s="55">
        <f>COUNTIFS(
  Clients!$F:$F, "&gt;="&amp;A13,
  Clients!$F:$F, "&lt;"&amp;DATE(YEAR(A13), MONTH(A13)+1, 1),
  Clients!$L:$L, "Découverte"
)</f>
        <v>1</v>
      </c>
      <c r="S13" s="55">
        <f>COUNTIFS(
  Clients!$F:$F, "&gt;="&amp;A13,
  Clients!$F:$F, "&lt;"&amp;DATE(YEAR(A13), MONTH(A13)+1, 1),
  Clients!$L:$L, "Essentiel"
)</f>
        <v>4</v>
      </c>
      <c r="T13" s="55">
        <f>COUNTIFS(
  Clients!$F:$F, "&gt;="&amp;A13,
  Clients!$F:$F, "&lt;"&amp;DATE(YEAR(A13), MONTH(A13)+1, 1),
  Clients!$L:$L, "Premium"
)</f>
        <v>2</v>
      </c>
      <c r="U13" s="54">
        <f>SUMIFS(
  Clients!$T:$T,
  Clients!$F:$F, "&gt;="&amp;A13,
  Clients!$F:$F, "&lt;"&amp;DATE(YEAR(A13), MONTH(A13)+1, 1)
)</f>
        <v>2969</v>
      </c>
      <c r="V13" s="54">
        <f>SUMIFS(
  Clients!$S:$S,
  Clients!$F:$F, "&gt;="&amp;A13,
  Clients!$F:$F, "&lt;"&amp;DATE(YEAR(A13), MONTH(A13)+1, 1)
)</f>
        <v>600</v>
      </c>
      <c r="W13" s="54">
        <f>SUMIFS(
  Clients!$U:$U,
  Clients!$F:$F, "&gt;="&amp;A13,
  Clients!$F:$F, "&lt;"&amp;DATE(YEAR(A13), MONTH(A13)+1, 1)
)</f>
        <v>2369</v>
      </c>
      <c r="X13" s="54">
        <f t="shared" si="4"/>
        <v>4346</v>
      </c>
      <c r="Y13" s="54">
        <f>SUMIFS(
  Clients!T:T,
  Clients!R:R, "&gt;=" &amp; DATE(YEAR(A13), MONTH(A13), 1),
  Clients!R:R, "&lt;" &amp; DATE(YEAR(A13), MONTH(A13)+1, 1)
)</f>
        <v>5566</v>
      </c>
      <c r="Z13" s="54">
        <f>SUMIFS(
  Clients!$N:$N,
  Clients!$F:$F,"&gt;="&amp;$A13,
  Clients!$F:$F,"&lt;"&amp;DATE(YEAR($A13),MONTH($A13)+1,1)
)</f>
        <v>310</v>
      </c>
      <c r="AA13" s="54">
        <f> R13 * KPI!$C$2
 + S13 * KPI!$C$3
 + T13 * KPI!$C$4</f>
        <v>393.12</v>
      </c>
      <c r="AB13" s="57">
        <f>SUMIFS(
  Clients!$W:$W,
  Clients!$F:$F,"&gt;="&amp;A13,
  Clients!$F:$F,"&lt;"&amp;DATE(YEAR(A13),MONTH(A13)+1,1)
)</f>
        <v>33.5</v>
      </c>
      <c r="AC13" s="54">
        <f t="shared" si="13"/>
        <v>469</v>
      </c>
      <c r="AD13" s="54">
        <f>SUMIFS(
  Clients!$AA:$AA,
  Clients!$F:$F,"&gt;="&amp;$A13,
  Clients!$F:$F,"&lt;"&amp;DATE(YEAR($A13),MONTH($A13)+1,1)
)</f>
        <v>225.9</v>
      </c>
      <c r="AE13" s="54">
        <f>SUMIFS(
  Clients!$AC:$AC,
  Clients!$R:$R,"&gt;="&amp;$A13,
  Clients!$R:$R,"&lt;"&amp;DATE(YEAR($A13),MONTH($A13)+1,1)
)</f>
        <v>100</v>
      </c>
      <c r="AF13" s="58">
        <f>KPI!$B$29</f>
        <v>441.64</v>
      </c>
      <c r="AG13" s="59">
        <f t="shared" si="11"/>
        <v>2575.88</v>
      </c>
      <c r="AH13" s="59">
        <f t="shared" si="12"/>
        <v>1880.98</v>
      </c>
      <c r="AI13" s="59">
        <f t="shared" si="6"/>
        <v>3467.98</v>
      </c>
      <c r="AJ13" s="59">
        <f t="shared" si="7"/>
        <v>2115.4</v>
      </c>
    </row>
    <row r="14">
      <c r="A14" s="51"/>
      <c r="B14" s="55"/>
      <c r="C14" s="54"/>
      <c r="D14" s="54"/>
      <c r="E14" s="55"/>
      <c r="F14" s="55"/>
      <c r="G14" s="55"/>
      <c r="H14" s="55"/>
      <c r="I14" s="54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61"/>
      <c r="AC14" s="55"/>
      <c r="AD14" s="55"/>
      <c r="AE14" s="55"/>
      <c r="AF14" s="55"/>
      <c r="AG14" s="55"/>
      <c r="AH14" s="55"/>
      <c r="AI14" s="55"/>
      <c r="AJ14" s="55"/>
    </row>
    <row r="15">
      <c r="A15" s="62">
        <v>2025.0</v>
      </c>
      <c r="B15" s="63"/>
      <c r="C15" s="59"/>
      <c r="D15" s="59"/>
      <c r="E15" s="63"/>
      <c r="F15" s="63"/>
      <c r="G15" s="63"/>
      <c r="H15" s="63"/>
      <c r="I15" s="59"/>
      <c r="J15" s="63"/>
      <c r="K15" s="63"/>
      <c r="L15" s="63"/>
      <c r="M15" s="63"/>
      <c r="N15" s="63"/>
      <c r="O15" s="63"/>
      <c r="P15" s="59">
        <f>sum(P10:P13)</f>
        <v>10527</v>
      </c>
      <c r="Q15" s="59"/>
      <c r="R15" s="59"/>
      <c r="S15" s="59"/>
      <c r="T15" s="59"/>
      <c r="U15" s="59">
        <f t="shared" ref="U15:X15" si="14">SUM(U2:U13)</f>
        <v>34377</v>
      </c>
      <c r="V15" s="59">
        <f t="shared" si="14"/>
        <v>2400</v>
      </c>
      <c r="W15" s="59">
        <f t="shared" si="14"/>
        <v>31977</v>
      </c>
      <c r="X15" s="59">
        <f t="shared" si="14"/>
        <v>42504</v>
      </c>
      <c r="Y15" s="63"/>
      <c r="Z15" s="55"/>
      <c r="AA15" s="55"/>
      <c r="AB15" s="61"/>
      <c r="AC15" s="55"/>
      <c r="AD15" s="63"/>
      <c r="AE15" s="63"/>
      <c r="AF15" s="63"/>
      <c r="AG15" s="63"/>
      <c r="AH15" s="63"/>
      <c r="AI15" s="63"/>
      <c r="AJ15" s="63"/>
    </row>
    <row r="16" hidden="1">
      <c r="A16" s="51"/>
      <c r="B16" s="55"/>
      <c r="C16" s="54"/>
      <c r="D16" s="54"/>
      <c r="E16" s="55"/>
      <c r="F16" s="55"/>
      <c r="G16" s="55"/>
      <c r="H16" s="55"/>
      <c r="I16" s="54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2"/>
      <c r="W16" s="55"/>
      <c r="X16" s="63">
        <f t="shared" ref="X16:X28" si="15">SUM(P16:W16)</f>
        <v>0</v>
      </c>
      <c r="Y16" s="63"/>
      <c r="Z16" s="55"/>
      <c r="AA16" s="55"/>
      <c r="AB16" s="61"/>
      <c r="AC16" s="55"/>
      <c r="AD16" s="55"/>
      <c r="AE16" s="55"/>
      <c r="AF16" s="55"/>
      <c r="AG16" s="55"/>
      <c r="AH16" s="55"/>
      <c r="AI16" s="55"/>
      <c r="AJ16" s="55"/>
    </row>
    <row r="17" hidden="1">
      <c r="A17" s="51">
        <v>46023.0</v>
      </c>
      <c r="B17" s="55"/>
      <c r="C17" s="54"/>
      <c r="D17" s="54" t="str">
        <f t="shared" ref="D17:D28" si="16">C17/B17</f>
        <v>#DIV/0!</v>
      </c>
      <c r="E17" s="55">
        <f>COUNTIFS(Clients!$R32:R$53,"&gt;="&amp;DATE(2026,1,1), Clients!$R32:R$53,"&lt;"&amp;DATE(2026,2,1))</f>
        <v>4</v>
      </c>
      <c r="F17" s="56" t="str">
        <f t="shared" ref="F17:F28" si="17">E17/B17</f>
        <v>#DIV/0!</v>
      </c>
      <c r="G17" s="54">
        <f t="shared" ref="G17:G28" si="18">C17/E17</f>
        <v>0</v>
      </c>
      <c r="H17" s="55"/>
      <c r="I17" s="54" t="str">
        <f t="shared" ref="I17:I28" si="19">#REF!/H17</f>
        <v>#REF!</v>
      </c>
      <c r="J17" s="55">
        <f>COUNTIFS(Clients!$R32:X$53,"&gt;="&amp;DATE(2026,1,1), Clients!$R32:X$53,"&lt;"&amp;DATE(2026,2,1))</f>
        <v>4</v>
      </c>
      <c r="K17" s="56" t="str">
        <f t="shared" ref="K17:K28" si="20">J17/H17</f>
        <v>#DIV/0!</v>
      </c>
      <c r="L17" s="55" t="str">
        <f t="shared" ref="L17:L28" si="21">#REF!/J17</f>
        <v>#REF!</v>
      </c>
      <c r="M17" s="55">
        <f>COUNTIFS(Clients!$L32:$L$53, "Découverte", Clients!$R32:$R$53, "&gt;="&amp;EOMONTH(Stats!$A17, -1)+1, Clients!$R32:$R$53, "&lt;="&amp;EOMONTH(Stats!$A17, 0))
</f>
        <v>1</v>
      </c>
      <c r="N17" s="55">
        <f>COUNTIFS(Clients!$L32:$L$53, "Essentiel", Clients!$R32:$R$53, "&gt;="&amp;EOMONTH(Stats!$A17, -1)+1, Clients!$R32:$R$53, "&lt;="&amp;EOMONTH(Stats!$A17, 0))
</f>
        <v>2</v>
      </c>
      <c r="O17" s="55">
        <f>COUNTIFS(Clients!$L32:$L$53, "Premium", Clients!$R32:$R$53, "&gt;="&amp;EOMONTH(Stats!$A17, -1)+1, Clients!$R32:$R$53, "&lt;="&amp;EOMONTH(Stats!$A17, 0))
</f>
        <v>1</v>
      </c>
      <c r="P17" s="54">
        <f>SUMPRODUCT(Clients!$S32:$S$53 * (Clients!$R32:$R$53 &gt;= EOMONTH(Stats!$A17, -1)+1) * (Clients!$R32:$R$53 &lt;= EOMONTH(Stats!$A17, 0)))
</f>
        <v>690</v>
      </c>
      <c r="Q17" s="55"/>
      <c r="R17" s="55"/>
      <c r="S17" s="55"/>
      <c r="T17" s="55"/>
      <c r="U17" s="54">
        <f>SUMPRODUCT(Clients!$T32:$T$53, (Clients!$F32:$F$53 &gt;= EOMONTH(Stats!$A17, -1)+1) * (Clients!$F32:$F$53 &lt;= EOMONTH(Stats!$A17, 0)))
</f>
        <v>4117.4</v>
      </c>
      <c r="V17" s="54">
        <f>SUMPRODUCT(Clients!$S32:$S$53, (Clients!$F32:$F$53 &gt;= EOMONTH(Stats!$A17, -1)+1) * (Clients!$F32:$F$53 &lt;= EOMONTH(Stats!$A17, 0)))
</f>
        <v>960</v>
      </c>
      <c r="W17" s="54">
        <f>SUMPRODUCT(Clients!$U32:$U$53, (Clients!$F32:$F$53 &gt;= EOMONTH(Stats!$A17, -1)+1) * (Clients!$F32:$F$53 &lt;= EOMONTH(Stats!$A17, 0)))
</f>
        <v>3157.4</v>
      </c>
      <c r="X17" s="59">
        <f t="shared" si="15"/>
        <v>8924.8</v>
      </c>
      <c r="Y17" s="63"/>
      <c r="Z17" s="55"/>
      <c r="AA17" s="55"/>
      <c r="AB17" s="61"/>
      <c r="AC17" s="55"/>
      <c r="AD17" s="55"/>
      <c r="AE17" s="55"/>
      <c r="AF17" s="55"/>
      <c r="AG17" s="55"/>
      <c r="AH17" s="55"/>
      <c r="AI17" s="55"/>
      <c r="AJ17" s="55"/>
    </row>
    <row r="18" hidden="1">
      <c r="A18" s="51">
        <v>46054.0</v>
      </c>
      <c r="B18" s="55"/>
      <c r="C18" s="54"/>
      <c r="D18" s="54" t="str">
        <f t="shared" si="16"/>
        <v>#DIV/0!</v>
      </c>
      <c r="E18" s="55">
        <f>COUNTIFS(Clients!$R32:R$53,"&gt;="&amp;DATE(2026,2,1), Clients!$R32:R$53,"&lt;"&amp;DATE(2026,3,1))</f>
        <v>0</v>
      </c>
      <c r="F18" s="56" t="str">
        <f t="shared" si="17"/>
        <v>#DIV/0!</v>
      </c>
      <c r="G18" s="55" t="str">
        <f t="shared" si="18"/>
        <v>#DIV/0!</v>
      </c>
      <c r="H18" s="55"/>
      <c r="I18" s="54" t="str">
        <f t="shared" si="19"/>
        <v>#REF!</v>
      </c>
      <c r="J18" s="55">
        <f>COUNTIFS(Clients!$R32:X$53,"&gt;="&amp;DATE(2026,2,1), Clients!$R32:X$53,"&lt;"&amp;DATE(2026,3,1))</f>
        <v>0</v>
      </c>
      <c r="K18" s="56" t="str">
        <f t="shared" si="20"/>
        <v>#DIV/0!</v>
      </c>
      <c r="L18" s="55" t="str">
        <f t="shared" si="21"/>
        <v>#REF!</v>
      </c>
      <c r="M18" s="55">
        <f>COUNTIFS(Clients!$L32:$L$53, "Découverte", Clients!$R32:$R$53, "&gt;="&amp;EOMONTH(Stats!$A18, -1)+1, Clients!$R32:$R$53, "&lt;="&amp;EOMONTH(Stats!$A18, 0))
</f>
        <v>0</v>
      </c>
      <c r="N18" s="55">
        <f>COUNTIFS(Clients!$L32:$L$53, "Essentiel", Clients!$R32:$R$53, "&gt;="&amp;EOMONTH(Stats!$A18, -1)+1, Clients!$R32:$R$53, "&lt;="&amp;EOMONTH(Stats!$A18, 0))
</f>
        <v>0</v>
      </c>
      <c r="O18" s="55">
        <f>COUNTIFS(Clients!$L32:$L$53, "Premium", Clients!$R32:$R$53, "&gt;="&amp;EOMONTH(Stats!$A18, -1)+1, Clients!$R32:$R$53, "&lt;="&amp;EOMONTH(Stats!$A18, 0))
</f>
        <v>0</v>
      </c>
      <c r="P18" s="54">
        <f>SUMPRODUCT(Clients!$S32:$S$53 * (Clients!$R32:$R$53 &gt;= EOMONTH(Stats!$A18, -1)+1) * (Clients!$R32:$R$53 &lt;= EOMONTH(Stats!$A18, 0)))
</f>
        <v>0</v>
      </c>
      <c r="Q18" s="55"/>
      <c r="R18" s="55"/>
      <c r="S18" s="55"/>
      <c r="T18" s="55"/>
      <c r="U18" s="54">
        <f>SUMPRODUCT(Clients!$T32:$T$53, (Clients!$F32:$F$53 &gt;= EOMONTH(Stats!$A18, -1)+1) * (Clients!$F32:$F$53 &lt;= EOMONTH(Stats!$A18, 0)))
</f>
        <v>548.9</v>
      </c>
      <c r="V18" s="54">
        <f>SUMPRODUCT(Clients!$S32:$S$53, (Clients!$F32:$F$53 &gt;= EOMONTH(Stats!$A18, -1)+1) * (Clients!$F32:$F$53 &lt;= EOMONTH(Stats!$A18, 0)))
</f>
        <v>190</v>
      </c>
      <c r="W18" s="54">
        <f>SUMPRODUCT(Clients!$U32:$U$53, (Clients!$F32:$F$53 &gt;= EOMONTH(Stats!$A18, -1)+1) * (Clients!$F32:$F$53 &lt;= EOMONTH(Stats!$A18, 0)))
</f>
        <v>358.9</v>
      </c>
      <c r="X18" s="59">
        <f t="shared" si="15"/>
        <v>1097.8</v>
      </c>
      <c r="Y18" s="63"/>
      <c r="Z18" s="55"/>
      <c r="AA18" s="55"/>
      <c r="AB18" s="61"/>
      <c r="AC18" s="55"/>
      <c r="AD18" s="55"/>
      <c r="AE18" s="55"/>
      <c r="AF18" s="55"/>
      <c r="AG18" s="55"/>
      <c r="AH18" s="55"/>
      <c r="AI18" s="55"/>
      <c r="AJ18" s="55"/>
    </row>
    <row r="19" hidden="1">
      <c r="A19" s="51">
        <v>46082.0</v>
      </c>
      <c r="B19" s="55"/>
      <c r="C19" s="54"/>
      <c r="D19" s="54" t="str">
        <f t="shared" si="16"/>
        <v>#DIV/0!</v>
      </c>
      <c r="E19" s="55">
        <f>COUNTIFS(Clients!$R32:R$53,"&gt;="&amp;DATE(2026,3,1), Clients!$R32:R$53,"&lt;"&amp;DATE(2026,4,1))</f>
        <v>0</v>
      </c>
      <c r="F19" s="56" t="str">
        <f t="shared" si="17"/>
        <v>#DIV/0!</v>
      </c>
      <c r="G19" s="55" t="str">
        <f t="shared" si="18"/>
        <v>#DIV/0!</v>
      </c>
      <c r="H19" s="55"/>
      <c r="I19" s="54" t="str">
        <f t="shared" si="19"/>
        <v>#REF!</v>
      </c>
      <c r="J19" s="55">
        <f>COUNTIFS(Clients!$R32:X$53,"&gt;="&amp;DATE(2026,3,1), Clients!$R32:X$53,"&lt;"&amp;DATE(2026,4,1))</f>
        <v>0</v>
      </c>
      <c r="K19" s="56" t="str">
        <f t="shared" si="20"/>
        <v>#DIV/0!</v>
      </c>
      <c r="L19" s="55" t="str">
        <f t="shared" si="21"/>
        <v>#REF!</v>
      </c>
      <c r="M19" s="55">
        <f>COUNTIFS(Clients!$L32:$L$53, "Découverte", Clients!$R32:$R$53, "&gt;="&amp;EOMONTH(Stats!$A19, -1)+1, Clients!$R32:$R$53, "&lt;="&amp;EOMONTH(Stats!$A19, 0))
</f>
        <v>0</v>
      </c>
      <c r="N19" s="55">
        <f>COUNTIFS(Clients!$L32:$L$53, "Essentiel", Clients!$R32:$R$53, "&gt;="&amp;EOMONTH(Stats!$A19, -1)+1, Clients!$R32:$R$53, "&lt;="&amp;EOMONTH(Stats!$A19, 0))
</f>
        <v>0</v>
      </c>
      <c r="O19" s="55">
        <f>COUNTIFS(Clients!$L32:$L$53, "Premium", Clients!$R32:$R$53, "&gt;="&amp;EOMONTH(Stats!$A19, -1)+1, Clients!$R32:$R$53, "&lt;="&amp;EOMONTH(Stats!$A19, 0))
</f>
        <v>0</v>
      </c>
      <c r="P19" s="54">
        <f>SUMPRODUCT(Clients!$S32:$S$53 * (Clients!$R32:$R$53 &gt;= EOMONTH(Stats!$A19, -1)+1) * (Clients!$R32:$R$53 &lt;= EOMONTH(Stats!$A19, 0)))
</f>
        <v>0</v>
      </c>
      <c r="Q19" s="55"/>
      <c r="R19" s="55"/>
      <c r="S19" s="55"/>
      <c r="T19" s="55"/>
      <c r="U19" s="54">
        <f>SUMPRODUCT(Clients!$T32:$T$53, (Clients!$F32:$F$53 &gt;= EOMONTH(Stats!$A19, -1)+1) * (Clients!$F32:$F$53 &lt;= EOMONTH(Stats!$A19, 0)))
</f>
        <v>1508</v>
      </c>
      <c r="V19" s="54">
        <f>SUMPRODUCT(Clients!$S32:$S$53, (Clients!$F32:$F$53 &gt;= EOMONTH(Stats!$A19, -1)+1) * (Clients!$F32:$F$53 &lt;= EOMONTH(Stats!$A19, 0)))
</f>
        <v>499</v>
      </c>
      <c r="W19" s="54">
        <f>SUMPRODUCT(Clients!$U32:$U$53, (Clients!$F32:$F$53 &gt;= EOMONTH(Stats!$A19, -1)+1) * (Clients!$F32:$F$53 &lt;= EOMONTH(Stats!$A19, 0)))
</f>
        <v>1009</v>
      </c>
      <c r="X19" s="59">
        <f t="shared" si="15"/>
        <v>3016</v>
      </c>
      <c r="Y19" s="63"/>
      <c r="Z19" s="55"/>
      <c r="AA19" s="55"/>
      <c r="AB19" s="61"/>
      <c r="AC19" s="55"/>
      <c r="AD19" s="55"/>
      <c r="AE19" s="55"/>
      <c r="AF19" s="55"/>
      <c r="AG19" s="55"/>
      <c r="AH19" s="55"/>
      <c r="AI19" s="55"/>
      <c r="AJ19" s="55"/>
    </row>
    <row r="20" hidden="1">
      <c r="A20" s="51">
        <v>46113.0</v>
      </c>
      <c r="B20" s="55"/>
      <c r="C20" s="54"/>
      <c r="D20" s="54" t="str">
        <f t="shared" si="16"/>
        <v>#DIV/0!</v>
      </c>
      <c r="E20" s="55">
        <f>COUNTIFS(Clients!$R32:R$53,"&gt;="&amp;DATE(2026,4,1), Clients!$R32:R$53,"&lt;"&amp;DATE(2026,5,1))</f>
        <v>0</v>
      </c>
      <c r="F20" s="56" t="str">
        <f t="shared" si="17"/>
        <v>#DIV/0!</v>
      </c>
      <c r="G20" s="55" t="str">
        <f t="shared" si="18"/>
        <v>#DIV/0!</v>
      </c>
      <c r="H20" s="55"/>
      <c r="I20" s="54" t="str">
        <f t="shared" si="19"/>
        <v>#REF!</v>
      </c>
      <c r="J20" s="55">
        <f>COUNTIFS(Clients!$R32:X$53,"&gt;="&amp;DATE(2026,4,1), Clients!$R32:X$53,"&lt;"&amp;DATE(2026,5,1))</f>
        <v>0</v>
      </c>
      <c r="K20" s="56" t="str">
        <f t="shared" si="20"/>
        <v>#DIV/0!</v>
      </c>
      <c r="L20" s="55" t="str">
        <f t="shared" si="21"/>
        <v>#REF!</v>
      </c>
      <c r="M20" s="55">
        <f>COUNTIFS(Clients!$L32:$L$53, "Découverte", Clients!$R32:$R$53, "&gt;="&amp;EOMONTH(Stats!$A20, -1)+1, Clients!$R32:$R$53, "&lt;="&amp;EOMONTH(Stats!$A20, 0))
</f>
        <v>0</v>
      </c>
      <c r="N20" s="55">
        <f>COUNTIFS(Clients!$L32:$L$53, "Essentiel", Clients!$R32:$R$53, "&gt;="&amp;EOMONTH(Stats!$A20, -1)+1, Clients!$R32:$R$53, "&lt;="&amp;EOMONTH(Stats!$A20, 0))
</f>
        <v>0</v>
      </c>
      <c r="O20" s="55">
        <f>COUNTIFS(Clients!$L32:$L$53, "Premium", Clients!$R32:$R$53, "&gt;="&amp;EOMONTH(Stats!$A20, -1)+1, Clients!$R32:$R$53, "&lt;="&amp;EOMONTH(Stats!$A20, 0))
</f>
        <v>0</v>
      </c>
      <c r="P20" s="54">
        <f>SUMPRODUCT(Clients!$S32:$S$53 * (Clients!$R32:$R$53 &gt;= EOMONTH(Stats!$A20, -1)+1) * (Clients!$R32:$R$53 &lt;= EOMONTH(Stats!$A20, 0)))
</f>
        <v>0</v>
      </c>
      <c r="Q20" s="55"/>
      <c r="R20" s="55"/>
      <c r="S20" s="55"/>
      <c r="T20" s="55"/>
      <c r="U20" s="54">
        <f>SUMPRODUCT(Clients!$T32:$T$53, (Clients!$F32:$F$53 &gt;= EOMONTH(Stats!$A20, -1)+1) * (Clients!$F32:$F$53 &lt;= EOMONTH(Stats!$A20, 0)))
</f>
        <v>1360</v>
      </c>
      <c r="V20" s="54">
        <f>SUMPRODUCT(Clients!$S32:$S$53, (Clients!$F32:$F$53 &gt;= EOMONTH(Stats!$A20, -1)+1) * (Clients!$F32:$F$53 &lt;= EOMONTH(Stats!$A20, 0)))
</f>
        <v>450</v>
      </c>
      <c r="W20" s="54">
        <f>SUMPRODUCT(Clients!$U32:$U$53, (Clients!$F32:$F$53 &gt;= EOMONTH(Stats!$A20, -1)+1) * (Clients!$F32:$F$53 &lt;= EOMONTH(Stats!$A20, 0)))
</f>
        <v>910</v>
      </c>
      <c r="X20" s="59">
        <f t="shared" si="15"/>
        <v>2720</v>
      </c>
      <c r="Y20" s="63"/>
      <c r="Z20" s="55"/>
      <c r="AA20" s="55"/>
      <c r="AB20" s="61"/>
      <c r="AC20" s="55"/>
      <c r="AD20" s="55"/>
      <c r="AE20" s="55"/>
      <c r="AF20" s="55"/>
      <c r="AG20" s="55"/>
      <c r="AH20" s="55"/>
      <c r="AI20" s="55"/>
      <c r="AJ20" s="55"/>
    </row>
    <row r="21" hidden="1">
      <c r="A21" s="51">
        <v>46143.0</v>
      </c>
      <c r="B21" s="55"/>
      <c r="C21" s="54"/>
      <c r="D21" s="54" t="str">
        <f t="shared" si="16"/>
        <v>#DIV/0!</v>
      </c>
      <c r="E21" s="55">
        <f>COUNTIFS(Clients!$R32:R$53,"&gt;="&amp;DATE(2026,5,1), Clients!$R32:R$53,"&lt;"&amp;DATE(2026,6,1))</f>
        <v>0</v>
      </c>
      <c r="F21" s="56" t="str">
        <f t="shared" si="17"/>
        <v>#DIV/0!</v>
      </c>
      <c r="G21" s="55" t="str">
        <f t="shared" si="18"/>
        <v>#DIV/0!</v>
      </c>
      <c r="H21" s="55"/>
      <c r="I21" s="54" t="str">
        <f t="shared" si="19"/>
        <v>#REF!</v>
      </c>
      <c r="J21" s="55">
        <f>COUNTIFS(Clients!$R32:X$53,"&gt;="&amp;DATE(2026,5,1), Clients!$R32:X$53,"&lt;"&amp;DATE(2026,6,1))</f>
        <v>0</v>
      </c>
      <c r="K21" s="56" t="str">
        <f t="shared" si="20"/>
        <v>#DIV/0!</v>
      </c>
      <c r="L21" s="55" t="str">
        <f t="shared" si="21"/>
        <v>#REF!</v>
      </c>
      <c r="M21" s="55">
        <f>COUNTIFS(Clients!$L32:$L$53, "Découverte", Clients!$R32:$R$53, "&gt;="&amp;EOMONTH(Stats!$A21, -1)+1, Clients!$R32:$R$53, "&lt;="&amp;EOMONTH(Stats!$A21, 0))
</f>
        <v>0</v>
      </c>
      <c r="N21" s="55">
        <f>COUNTIFS(Clients!$L32:$L$53, "Essentiel", Clients!$R32:$R$53, "&gt;="&amp;EOMONTH(Stats!$A21, -1)+1, Clients!$R32:$R$53, "&lt;="&amp;EOMONTH(Stats!$A21, 0))
</f>
        <v>0</v>
      </c>
      <c r="O21" s="55">
        <f>COUNTIFS(Clients!$L32:$L$53, "Premium", Clients!$R32:$R$53, "&gt;="&amp;EOMONTH(Stats!$A21, -1)+1, Clients!$R32:$R$53, "&lt;="&amp;EOMONTH(Stats!$A21, 0))
</f>
        <v>0</v>
      </c>
      <c r="P21" s="54">
        <f>SUMPRODUCT(Clients!$S32:$S$53 * (Clients!$R32:$R$53 &gt;= EOMONTH(Stats!$A21, -1)+1) * (Clients!$R32:$R$53 &lt;= EOMONTH(Stats!$A21, 0)))
</f>
        <v>0</v>
      </c>
      <c r="Q21" s="55"/>
      <c r="R21" s="55"/>
      <c r="S21" s="55"/>
      <c r="T21" s="55"/>
      <c r="U21" s="54">
        <f>SUMPRODUCT(Clients!$T32:$T$53, (Clients!$F32:$F$53 &gt;= EOMONTH(Stats!$A21, -1)+1) * (Clients!$F32:$F$53 &lt;= EOMONTH(Stats!$A21, 0)))
</f>
        <v>3120</v>
      </c>
      <c r="V21" s="54">
        <f>SUMPRODUCT(Clients!$S32:$S$53, (Clients!$F32:$F$53 &gt;= EOMONTH(Stats!$A21, -1)+1) * (Clients!$F32:$F$53 &lt;= EOMONTH(Stats!$A21, 0)))
</f>
        <v>1080</v>
      </c>
      <c r="W21" s="54">
        <f>SUMPRODUCT(Clients!$U32:$U$53, (Clients!$F32:$F$53 &gt;= EOMONTH(Stats!$A21, -1)+1) * (Clients!$F32:$F$53 &lt;= EOMONTH(Stats!$A21, 0)))
</f>
        <v>2190</v>
      </c>
      <c r="X21" s="59">
        <f t="shared" si="15"/>
        <v>6390</v>
      </c>
      <c r="Y21" s="63"/>
      <c r="Z21" s="55"/>
      <c r="AA21" s="55"/>
      <c r="AB21" s="61"/>
      <c r="AC21" s="55"/>
      <c r="AD21" s="55"/>
      <c r="AE21" s="55"/>
      <c r="AF21" s="55"/>
      <c r="AG21" s="55"/>
      <c r="AH21" s="55"/>
      <c r="AI21" s="55"/>
      <c r="AJ21" s="55"/>
    </row>
    <row r="22" hidden="1">
      <c r="A22" s="51">
        <v>46174.0</v>
      </c>
      <c r="B22" s="55"/>
      <c r="C22" s="54"/>
      <c r="D22" s="54" t="str">
        <f t="shared" si="16"/>
        <v>#DIV/0!</v>
      </c>
      <c r="E22" s="55">
        <f>COUNTIFS(Clients!$R32:R$53,"&gt;="&amp;DATE(2026,6,1), Clients!$R32:R$53,"&lt;"&amp;DATE(2026,7,1))</f>
        <v>0</v>
      </c>
      <c r="F22" s="56" t="str">
        <f t="shared" si="17"/>
        <v>#DIV/0!</v>
      </c>
      <c r="G22" s="55" t="str">
        <f t="shared" si="18"/>
        <v>#DIV/0!</v>
      </c>
      <c r="H22" s="55"/>
      <c r="I22" s="54" t="str">
        <f t="shared" si="19"/>
        <v>#REF!</v>
      </c>
      <c r="J22" s="55">
        <f>COUNTIFS(Clients!$R32:X$53,"&gt;="&amp;DATE(2026,6,1), Clients!$R32:X$53,"&lt;"&amp;DATE(2026,7,1))</f>
        <v>0</v>
      </c>
      <c r="K22" s="56" t="str">
        <f t="shared" si="20"/>
        <v>#DIV/0!</v>
      </c>
      <c r="L22" s="55" t="str">
        <f t="shared" si="21"/>
        <v>#REF!</v>
      </c>
      <c r="M22" s="55">
        <f>COUNTIFS(Clients!$L32:$L$53, "Découverte", Clients!$R32:$R$53, "&gt;="&amp;EOMONTH(Stats!$A22, -1)+1, Clients!$R32:$R$53, "&lt;="&amp;EOMONTH(Stats!$A22, 0))
</f>
        <v>0</v>
      </c>
      <c r="N22" s="55">
        <f>COUNTIFS(Clients!$L32:$L$53, "Essentiel", Clients!$R32:$R$53, "&gt;="&amp;EOMONTH(Stats!$A22, -1)+1, Clients!$R32:$R$53, "&lt;="&amp;EOMONTH(Stats!$A22, 0))
</f>
        <v>0</v>
      </c>
      <c r="O22" s="55">
        <f>COUNTIFS(Clients!$L32:$L$53, "Premium", Clients!$R32:$R$53, "&gt;="&amp;EOMONTH(Stats!$A22, -1)+1, Clients!$R32:$R$53, "&lt;="&amp;EOMONTH(Stats!$A22, 0))
</f>
        <v>0</v>
      </c>
      <c r="P22" s="54">
        <f>SUMPRODUCT(Clients!$S32:$S$53 * (Clients!$R32:$R$53 &gt;= EOMONTH(Stats!$A22, -1)+1) * (Clients!$R32:$R$53 &lt;= EOMONTH(Stats!$A22, 0)))
</f>
        <v>0</v>
      </c>
      <c r="Q22" s="55"/>
      <c r="R22" s="55"/>
      <c r="S22" s="55"/>
      <c r="T22" s="55"/>
      <c r="U22" s="54">
        <f>SUMPRODUCT(Clients!$T32:$T$53, (Clients!$F32:$F$53 &gt;= EOMONTH(Stats!$A22, -1)+1) * (Clients!$F32:$F$53 &lt;= EOMONTH(Stats!$A22, 0)))
</f>
        <v>5180</v>
      </c>
      <c r="V22" s="54">
        <f>SUMPRODUCT(Clients!$S32:$S$53, (Clients!$F32:$F$53 &gt;= EOMONTH(Stats!$A22, -1)+1) * (Clients!$F32:$F$53 &lt;= EOMONTH(Stats!$A22, 0)))
</f>
        <v>1680</v>
      </c>
      <c r="W22" s="54">
        <f>SUMPRODUCT(Clients!$U32:$U$53, (Clients!$F32:$F$53 &gt;= EOMONTH(Stats!$A22, -1)+1) * (Clients!$F32:$F$53 &lt;= EOMONTH(Stats!$A22, 0)))
</f>
        <v>3500</v>
      </c>
      <c r="X22" s="59">
        <f t="shared" si="15"/>
        <v>10360</v>
      </c>
      <c r="Y22" s="63"/>
      <c r="Z22" s="55"/>
      <c r="AA22" s="55"/>
      <c r="AB22" s="61"/>
      <c r="AC22" s="55"/>
      <c r="AD22" s="55"/>
      <c r="AE22" s="55"/>
      <c r="AF22" s="55"/>
      <c r="AG22" s="55"/>
      <c r="AH22" s="55"/>
      <c r="AI22" s="55"/>
      <c r="AJ22" s="55"/>
    </row>
    <row r="23" hidden="1">
      <c r="A23" s="51">
        <v>46204.0</v>
      </c>
      <c r="B23" s="55"/>
      <c r="C23" s="54"/>
      <c r="D23" s="54" t="str">
        <f t="shared" si="16"/>
        <v>#DIV/0!</v>
      </c>
      <c r="E23" s="55">
        <f>COUNTIFS(Clients!$R32:R$53,"&gt;="&amp;DATE(2026,7,1), Clients!$R32:R$53,"&lt;"&amp;DATE(2026,8,1))</f>
        <v>0</v>
      </c>
      <c r="F23" s="56" t="str">
        <f t="shared" si="17"/>
        <v>#DIV/0!</v>
      </c>
      <c r="G23" s="55" t="str">
        <f t="shared" si="18"/>
        <v>#DIV/0!</v>
      </c>
      <c r="H23" s="55"/>
      <c r="I23" s="54" t="str">
        <f t="shared" si="19"/>
        <v>#REF!</v>
      </c>
      <c r="J23" s="55">
        <f>COUNTIFS(Clients!$R32:X$53,"&gt;="&amp;DATE(2026,7,1), Clients!$R32:X$53,"&lt;"&amp;DATE(2026,8,1))</f>
        <v>0</v>
      </c>
      <c r="K23" s="56" t="str">
        <f t="shared" si="20"/>
        <v>#DIV/0!</v>
      </c>
      <c r="L23" s="55" t="str">
        <f t="shared" si="21"/>
        <v>#REF!</v>
      </c>
      <c r="M23" s="55">
        <f>COUNTIFS(Clients!$L32:$L$53, "Découverte", Clients!$R32:$R$53, "&gt;="&amp;EOMONTH(Stats!$A23, -1)+1, Clients!$R32:$R$53, "&lt;="&amp;EOMONTH(Stats!$A23, 0))
</f>
        <v>0</v>
      </c>
      <c r="N23" s="55">
        <f>COUNTIFS(Clients!$L32:$L$53, "Essentiel", Clients!$R32:$R$53, "&gt;="&amp;EOMONTH(Stats!$A23, -1)+1, Clients!$R32:$R$53, "&lt;="&amp;EOMONTH(Stats!$A23, 0))
</f>
        <v>0</v>
      </c>
      <c r="O23" s="55">
        <f>COUNTIFS(Clients!$L32:$L$53, "Premium", Clients!$R32:$R$53, "&gt;="&amp;EOMONTH(Stats!$A23, -1)+1, Clients!$R32:$R$53, "&lt;="&amp;EOMONTH(Stats!$A23, 0))
</f>
        <v>0</v>
      </c>
      <c r="P23" s="54">
        <f>SUMPRODUCT(Clients!$S32:$S$53 * (Clients!$R32:$R$53 &gt;= EOMONTH(Stats!$A23, -1)+1) * (Clients!$R32:$R$53 &lt;= EOMONTH(Stats!$A23, 0)))
</f>
        <v>0</v>
      </c>
      <c r="Q23" s="55"/>
      <c r="R23" s="55"/>
      <c r="S23" s="55"/>
      <c r="T23" s="55"/>
      <c r="U23" s="54">
        <f>SUMPRODUCT(Clients!$T32:$T$53, (Clients!$F32:$F$53 &gt;= EOMONTH(Stats!$A23, -1)+1) * (Clients!$F32:$F$53 &lt;= EOMONTH(Stats!$A23, 0)))
</f>
        <v>5690</v>
      </c>
      <c r="V23" s="54">
        <f>SUMPRODUCT(Clients!$S32:$S$53, (Clients!$F32:$F$53 &gt;= EOMONTH(Stats!$A23, -1)+1) * (Clients!$F32:$F$53 &lt;= EOMONTH(Stats!$A23, 0)))
</f>
        <v>1930</v>
      </c>
      <c r="W23" s="54">
        <f>SUMPRODUCT(Clients!$U32:$U$53, (Clients!$F32:$F$53 &gt;= EOMONTH(Stats!$A23, -1)+1) * (Clients!$F32:$F$53 &lt;= EOMONTH(Stats!$A23, 0)))
</f>
        <v>3910</v>
      </c>
      <c r="X23" s="59">
        <f t="shared" si="15"/>
        <v>11530</v>
      </c>
      <c r="Y23" s="63"/>
      <c r="Z23" s="55"/>
      <c r="AA23" s="55"/>
      <c r="AB23" s="61"/>
      <c r="AC23" s="55"/>
      <c r="AD23" s="55"/>
      <c r="AE23" s="55"/>
      <c r="AF23" s="55"/>
      <c r="AG23" s="55"/>
      <c r="AH23" s="55"/>
      <c r="AI23" s="55"/>
      <c r="AJ23" s="55"/>
    </row>
    <row r="24" hidden="1">
      <c r="A24" s="51">
        <v>46235.0</v>
      </c>
      <c r="B24" s="55"/>
      <c r="C24" s="54"/>
      <c r="D24" s="54" t="str">
        <f t="shared" si="16"/>
        <v>#DIV/0!</v>
      </c>
      <c r="E24" s="55">
        <f>COUNTIFS(Clients!$R32:R$53,"&gt;="&amp;DATE(2026,8,1), Clients!$R32:R$53,"&lt;"&amp;DATE(2026,9,1))</f>
        <v>0</v>
      </c>
      <c r="F24" s="56" t="str">
        <f t="shared" si="17"/>
        <v>#DIV/0!</v>
      </c>
      <c r="G24" s="55" t="str">
        <f t="shared" si="18"/>
        <v>#DIV/0!</v>
      </c>
      <c r="H24" s="55"/>
      <c r="I24" s="54" t="str">
        <f t="shared" si="19"/>
        <v>#REF!</v>
      </c>
      <c r="J24" s="55">
        <f>COUNTIFS(Clients!$R32:X$53,"&gt;="&amp;DATE(2026,8,1), Clients!$R32:X$53,"&lt;"&amp;DATE(2026,9,1))</f>
        <v>0</v>
      </c>
      <c r="K24" s="56" t="str">
        <f t="shared" si="20"/>
        <v>#DIV/0!</v>
      </c>
      <c r="L24" s="55" t="str">
        <f t="shared" si="21"/>
        <v>#REF!</v>
      </c>
      <c r="M24" s="55">
        <f>COUNTIFS(Clients!$L32:$L$53, "Découverte", Clients!$R32:$R$53, "&gt;="&amp;EOMONTH(Stats!$A24, -1)+1, Clients!$R32:$R$53, "&lt;="&amp;EOMONTH(Stats!$A24, 0))
</f>
        <v>0</v>
      </c>
      <c r="N24" s="55">
        <f>COUNTIFS(Clients!$L32:$L$53, "Essentiel", Clients!$R32:$R$53, "&gt;="&amp;EOMONTH(Stats!$A24, -1)+1, Clients!$R32:$R$53, "&lt;="&amp;EOMONTH(Stats!$A24, 0))
</f>
        <v>0</v>
      </c>
      <c r="O24" s="55">
        <f>COUNTIFS(Clients!$L32:$L$53, "Premium", Clients!$R32:$R$53, "&gt;="&amp;EOMONTH(Stats!$A24, -1)+1, Clients!$R32:$R$53, "&lt;="&amp;EOMONTH(Stats!$A24, 0))
</f>
        <v>0</v>
      </c>
      <c r="P24" s="54">
        <f>SUMPRODUCT(Clients!$S32:$S$53 * (Clients!$R32:$R$53 &gt;= EOMONTH(Stats!$A24, -1)+1) * (Clients!$R32:$R$53 &lt;= EOMONTH(Stats!$A24, 0)))
</f>
        <v>0</v>
      </c>
      <c r="Q24" s="55"/>
      <c r="R24" s="55"/>
      <c r="S24" s="55"/>
      <c r="T24" s="55"/>
      <c r="U24" s="54">
        <f>SUMPRODUCT(Clients!$T32:$T$53, (Clients!$F32:$F$53 &gt;= EOMONTH(Stats!$A24, -1)+1) * (Clients!$F32:$F$53 &lt;= EOMONTH(Stats!$A24, 0)))
</f>
        <v>4988</v>
      </c>
      <c r="V24" s="54">
        <f>SUMPRODUCT(Clients!$S32:$S$53, (Clients!$F32:$F$53 &gt;= EOMONTH(Stats!$A24, -1)+1) * (Clients!$F32:$F$53 &lt;= EOMONTH(Stats!$A24, 0)))
</f>
        <v>1578</v>
      </c>
      <c r="W24" s="54">
        <f>SUMPRODUCT(Clients!$U32:$U$53, (Clients!$F32:$F$53 &gt;= EOMONTH(Stats!$A24, -1)+1) * (Clients!$F32:$F$53 &lt;= EOMONTH(Stats!$A24, 0)))
</f>
        <v>3410</v>
      </c>
      <c r="X24" s="59">
        <f t="shared" si="15"/>
        <v>9976</v>
      </c>
      <c r="Y24" s="63"/>
      <c r="Z24" s="55"/>
      <c r="AA24" s="55"/>
      <c r="AB24" s="61"/>
      <c r="AC24" s="55"/>
      <c r="AD24" s="55"/>
      <c r="AE24" s="55"/>
      <c r="AF24" s="55"/>
      <c r="AG24" s="55"/>
      <c r="AH24" s="55"/>
      <c r="AI24" s="55"/>
      <c r="AJ24" s="55"/>
    </row>
    <row r="25" hidden="1">
      <c r="A25" s="51">
        <v>46266.0</v>
      </c>
      <c r="B25" s="55"/>
      <c r="C25" s="54"/>
      <c r="D25" s="54" t="str">
        <f t="shared" si="16"/>
        <v>#DIV/0!</v>
      </c>
      <c r="E25" s="55">
        <f>COUNTIFS(Clients!$R32:R$53,"&gt;="&amp;DATE(2026,9,1), Clients!$R32:R$53,"&lt;"&amp;DATE(2026,10,1))</f>
        <v>0</v>
      </c>
      <c r="F25" s="56" t="str">
        <f t="shared" si="17"/>
        <v>#DIV/0!</v>
      </c>
      <c r="G25" s="55" t="str">
        <f t="shared" si="18"/>
        <v>#DIV/0!</v>
      </c>
      <c r="H25" s="55"/>
      <c r="I25" s="54" t="str">
        <f t="shared" si="19"/>
        <v>#REF!</v>
      </c>
      <c r="J25" s="55">
        <f>COUNTIFS(Clients!$R32:X$53,"&gt;="&amp;DATE(2026,9,1), Clients!$R32:X$53,"&lt;"&amp;DATE(2026,10,1))</f>
        <v>0</v>
      </c>
      <c r="K25" s="56" t="str">
        <f t="shared" si="20"/>
        <v>#DIV/0!</v>
      </c>
      <c r="L25" s="55" t="str">
        <f t="shared" si="21"/>
        <v>#REF!</v>
      </c>
      <c r="M25" s="55">
        <f>COUNTIFS(Clients!$L32:$L$53, "Découverte", Clients!$R32:$R$53, "&gt;="&amp;EOMONTH(Stats!$A25, -1)+1, Clients!$R32:$R$53, "&lt;="&amp;EOMONTH(Stats!$A25, 0))
</f>
        <v>0</v>
      </c>
      <c r="N25" s="55">
        <f>COUNTIFS(Clients!$L32:$L$53, "Essentiel", Clients!$R32:$R$53, "&gt;="&amp;EOMONTH(Stats!$A25, -1)+1, Clients!$R32:$R$53, "&lt;="&amp;EOMONTH(Stats!$A25, 0))
</f>
        <v>0</v>
      </c>
      <c r="O25" s="55">
        <f>COUNTIFS(Clients!$L32:$L$53, "Premium", Clients!$R32:$R$53, "&gt;="&amp;EOMONTH(Stats!$A25, -1)+1, Clients!$R32:$R$53, "&lt;="&amp;EOMONTH(Stats!$A25, 0))
</f>
        <v>0</v>
      </c>
      <c r="P25" s="54">
        <f>SUMPRODUCT(Clients!$S32:$S$53 * (Clients!$R32:$R$53 &gt;= EOMONTH(Stats!$A25, -1)+1) * (Clients!$R32:$R$53 &lt;= EOMONTH(Stats!$A25, 0)))
</f>
        <v>0</v>
      </c>
      <c r="Q25" s="55"/>
      <c r="R25" s="55"/>
      <c r="S25" s="55"/>
      <c r="T25" s="55"/>
      <c r="U25" s="54">
        <f>SUMPRODUCT(Clients!$T32:$T$53, (Clients!$F32:$F$53 &gt;= EOMONTH(Stats!$A25, -1)+1) * (Clients!$F32:$F$53 &lt;= EOMONTH(Stats!$A25, 0)))
</f>
        <v>905</v>
      </c>
      <c r="V25" s="54">
        <f>SUMPRODUCT(Clients!$S32:$S$53, (Clients!$F32:$F$53 &gt;= EOMONTH(Stats!$A25, -1)+1) * (Clients!$F32:$F$53 &lt;= EOMONTH(Stats!$A25, 0)))
</f>
        <v>300</v>
      </c>
      <c r="W25" s="54">
        <f>SUMPRODUCT(Clients!$U32:$U$53, (Clients!$F32:$F$53 &gt;= EOMONTH(Stats!$A25, -1)+1) * (Clients!$F32:$F$53 &lt;= EOMONTH(Stats!$A25, 0)))
</f>
        <v>605</v>
      </c>
      <c r="X25" s="59">
        <f t="shared" si="15"/>
        <v>1810</v>
      </c>
      <c r="Y25" s="63"/>
      <c r="Z25" s="55"/>
      <c r="AA25" s="55"/>
      <c r="AB25" s="61"/>
      <c r="AC25" s="55"/>
      <c r="AD25" s="55"/>
      <c r="AE25" s="55"/>
      <c r="AF25" s="55"/>
      <c r="AG25" s="55"/>
      <c r="AH25" s="55"/>
      <c r="AI25" s="55"/>
      <c r="AJ25" s="55"/>
    </row>
    <row r="26" hidden="1">
      <c r="A26" s="51">
        <v>46296.0</v>
      </c>
      <c r="B26" s="55"/>
      <c r="C26" s="54"/>
      <c r="D26" s="54" t="str">
        <f t="shared" si="16"/>
        <v>#DIV/0!</v>
      </c>
      <c r="E26" s="55">
        <f>COUNTIFS(Clients!$R32:R$53,"&gt;="&amp;DATE(2026,10,1), Clients!$R32:R$53,"&lt;"&amp;DATE(2026,11,1))</f>
        <v>0</v>
      </c>
      <c r="F26" s="56" t="str">
        <f t="shared" si="17"/>
        <v>#DIV/0!</v>
      </c>
      <c r="G26" s="55" t="str">
        <f t="shared" si="18"/>
        <v>#DIV/0!</v>
      </c>
      <c r="H26" s="55"/>
      <c r="I26" s="54" t="str">
        <f t="shared" si="19"/>
        <v>#REF!</v>
      </c>
      <c r="J26" s="55">
        <f>COUNTIFS(Clients!$R32:X$53,"&gt;="&amp;DATE(2026,10,1), Clients!$R32:X$53,"&lt;"&amp;DATE(2026,11,1))</f>
        <v>0</v>
      </c>
      <c r="K26" s="56" t="str">
        <f t="shared" si="20"/>
        <v>#DIV/0!</v>
      </c>
      <c r="L26" s="55" t="str">
        <f t="shared" si="21"/>
        <v>#REF!</v>
      </c>
      <c r="M26" s="55">
        <f>COUNTIFS(Clients!$L32:$L$53, "Découverte", Clients!$R32:$R$53, "&gt;="&amp;EOMONTH(Stats!$A26, -1)+1, Clients!$R32:$R$53, "&lt;="&amp;EOMONTH(Stats!$A26, 0))
</f>
        <v>0</v>
      </c>
      <c r="N26" s="55">
        <f>COUNTIFS(Clients!$L32:$L$53, "Essentiel", Clients!$R32:$R$53, "&gt;="&amp;EOMONTH(Stats!$A26, -1)+1, Clients!$R32:$R$53, "&lt;="&amp;EOMONTH(Stats!$A26, 0))
</f>
        <v>0</v>
      </c>
      <c r="O26" s="55">
        <f>COUNTIFS(Clients!$L32:$L$53, "Premium", Clients!$R32:$R$53, "&gt;="&amp;EOMONTH(Stats!$A26, -1)+1, Clients!$R32:$R$53, "&lt;="&amp;EOMONTH(Stats!$A26, 0))
</f>
        <v>0</v>
      </c>
      <c r="P26" s="54">
        <f>SUMPRODUCT(Clients!$S32:$S$53 * (Clients!$R32:$R$53 &gt;= EOMONTH(Stats!$A26, -1)+1) * (Clients!$R32:$R$53 &lt;= EOMONTH(Stats!$A26, 0)))
</f>
        <v>0</v>
      </c>
      <c r="Q26" s="55"/>
      <c r="R26" s="55"/>
      <c r="S26" s="55"/>
      <c r="T26" s="55"/>
      <c r="U26" s="54">
        <f>SUMPRODUCT(Clients!$T32:$T$53, (Clients!$F32:$F$53 &gt;= EOMONTH(Stats!$A26, -1)+1) * (Clients!$F32:$F$53 &lt;= EOMONTH(Stats!$A26, 0)))
</f>
        <v>1540</v>
      </c>
      <c r="V26" s="54">
        <f>SUMPRODUCT(Clients!$S32:$S$53, (Clients!$F32:$F$53 &gt;= EOMONTH(Stats!$A26, -1)+1) * (Clients!$F32:$F$53 &lt;= EOMONTH(Stats!$A26, 0)))
</f>
        <v>450</v>
      </c>
      <c r="W26" s="54">
        <f>SUMPRODUCT(Clients!$U32:$U$53, (Clients!$F32:$F$53 &gt;= EOMONTH(Stats!$A26, -1)+1) * (Clients!$F32:$F$53 &lt;= EOMONTH(Stats!$A26, 0)))
</f>
        <v>1090</v>
      </c>
      <c r="X26" s="59">
        <f t="shared" si="15"/>
        <v>3080</v>
      </c>
      <c r="Y26" s="63"/>
      <c r="Z26" s="55"/>
      <c r="AA26" s="55"/>
      <c r="AB26" s="61"/>
      <c r="AC26" s="55"/>
      <c r="AD26" s="55"/>
      <c r="AE26" s="55"/>
      <c r="AF26" s="55"/>
      <c r="AG26" s="55"/>
      <c r="AH26" s="55"/>
      <c r="AI26" s="55"/>
      <c r="AJ26" s="55"/>
    </row>
    <row r="27" hidden="1">
      <c r="A27" s="51">
        <v>46327.0</v>
      </c>
      <c r="B27" s="55"/>
      <c r="C27" s="54"/>
      <c r="D27" s="54" t="str">
        <f t="shared" si="16"/>
        <v>#DIV/0!</v>
      </c>
      <c r="E27" s="55">
        <f>COUNTIFS(Clients!$R32:R$53,"&gt;="&amp;DATE(2026,11,1), Clients!$R32:R$53,"&lt;"&amp;DATE(2026,12,1))</f>
        <v>0</v>
      </c>
      <c r="F27" s="56" t="str">
        <f t="shared" si="17"/>
        <v>#DIV/0!</v>
      </c>
      <c r="G27" s="55" t="str">
        <f t="shared" si="18"/>
        <v>#DIV/0!</v>
      </c>
      <c r="H27" s="55"/>
      <c r="I27" s="54" t="str">
        <f t="shared" si="19"/>
        <v>#REF!</v>
      </c>
      <c r="J27" s="55">
        <f>COUNTIFS(Clients!$R32:X$53,"&gt;="&amp;DATE(2026,11,1), Clients!$R32:X$53,"&lt;"&amp;DATE(2026,12,1))</f>
        <v>0</v>
      </c>
      <c r="K27" s="56" t="str">
        <f t="shared" si="20"/>
        <v>#DIV/0!</v>
      </c>
      <c r="L27" s="55" t="str">
        <f t="shared" si="21"/>
        <v>#REF!</v>
      </c>
      <c r="M27" s="55">
        <f>COUNTIFS(Clients!$L32:$L$53, "Découverte", Clients!$R32:$R$53, "&gt;="&amp;EOMONTH(Stats!$A27, -1)+1, Clients!$R32:$R$53, "&lt;="&amp;EOMONTH(Stats!$A27, 0))
</f>
        <v>0</v>
      </c>
      <c r="N27" s="55">
        <f>COUNTIFS(Clients!$L32:$L$53, "Essentiel", Clients!$R32:$R$53, "&gt;="&amp;EOMONTH(Stats!$A27, -1)+1, Clients!$R32:$R$53, "&lt;="&amp;EOMONTH(Stats!$A27, 0))
</f>
        <v>0</v>
      </c>
      <c r="O27" s="55">
        <f>COUNTIFS(Clients!$L32:$L$53, "Premium", Clients!$R32:$R$53, "&gt;="&amp;EOMONTH(Stats!$A27, -1)+1, Clients!$R32:$R$53, "&lt;="&amp;EOMONTH(Stats!$A27, 0))
</f>
        <v>0</v>
      </c>
      <c r="P27" s="54">
        <f>SUMPRODUCT(Clients!$S32:$S$53 * (Clients!$R32:$R$53 &gt;= EOMONTH(Stats!$A27, -1)+1) * (Clients!$R32:$R$53 &lt;= EOMONTH(Stats!$A27, 0)))
</f>
        <v>0</v>
      </c>
      <c r="Q27" s="55"/>
      <c r="R27" s="55"/>
      <c r="S27" s="55"/>
      <c r="T27" s="55"/>
      <c r="U27" s="54">
        <f>SUMPRODUCT(Clients!$T32:$T$53, (Clients!$F32:$F$53 &gt;= EOMONTH(Stats!$A27, -1)+1) * (Clients!$F32:$F$53 &lt;= EOMONTH(Stats!$A27, 0)))
</f>
        <v>0</v>
      </c>
      <c r="V27" s="54">
        <f>SUMPRODUCT(Clients!$S32:$S$53, (Clients!$F32:$F$53 &gt;= EOMONTH(Stats!$A27, -1)+1) * (Clients!$F32:$F$53 &lt;= EOMONTH(Stats!$A27, 0)))
</f>
        <v>0</v>
      </c>
      <c r="W27" s="54">
        <f>SUMPRODUCT(Clients!$U32:$U$53, (Clients!$F32:$F$53 &gt;= EOMONTH(Stats!$A27, -1)+1) * (Clients!$F32:$F$53 &lt;= EOMONTH(Stats!$A27, 0)))
</f>
        <v>0</v>
      </c>
      <c r="X27" s="59">
        <f t="shared" si="15"/>
        <v>0</v>
      </c>
      <c r="Y27" s="63"/>
      <c r="Z27" s="55"/>
      <c r="AA27" s="55"/>
      <c r="AB27" s="61"/>
      <c r="AC27" s="55"/>
      <c r="AD27" s="55"/>
      <c r="AE27" s="55"/>
      <c r="AF27" s="55"/>
      <c r="AG27" s="55"/>
      <c r="AH27" s="55"/>
      <c r="AI27" s="55"/>
      <c r="AJ27" s="55"/>
    </row>
    <row r="28" hidden="1">
      <c r="A28" s="51">
        <v>46357.0</v>
      </c>
      <c r="B28" s="55"/>
      <c r="C28" s="54"/>
      <c r="D28" s="54" t="str">
        <f t="shared" si="16"/>
        <v>#DIV/0!</v>
      </c>
      <c r="E28" s="55">
        <f>COUNTIFS(Clients!$R32:R$53,"&gt;="&amp;DATE(2026,12,1), Clients!$R32:R$53,"&lt;"&amp;DATE(2027,1,1))</f>
        <v>0</v>
      </c>
      <c r="F28" s="56" t="str">
        <f t="shared" si="17"/>
        <v>#DIV/0!</v>
      </c>
      <c r="G28" s="55" t="str">
        <f t="shared" si="18"/>
        <v>#DIV/0!</v>
      </c>
      <c r="H28" s="55"/>
      <c r="I28" s="54" t="str">
        <f t="shared" si="19"/>
        <v>#REF!</v>
      </c>
      <c r="J28" s="55">
        <f>COUNTIFS(Clients!$R32:X$53,"&gt;="&amp;DATE(2026,12,1), Clients!$R32:X$53,"&lt;"&amp;DATE(2027,1,1))</f>
        <v>0</v>
      </c>
      <c r="K28" s="56" t="str">
        <f t="shared" si="20"/>
        <v>#DIV/0!</v>
      </c>
      <c r="L28" s="55" t="str">
        <f t="shared" si="21"/>
        <v>#REF!</v>
      </c>
      <c r="M28" s="55">
        <f>COUNTIFS(Clients!$L32:$L$53, "Découverte", Clients!$R32:$R$53, "&gt;="&amp;EOMONTH(Stats!$A28, -1)+1, Clients!$R32:$R$53, "&lt;="&amp;EOMONTH(Stats!$A28, 0))
</f>
        <v>0</v>
      </c>
      <c r="N28" s="55">
        <f>COUNTIFS(Clients!$L32:$L$53, "Essentiel", Clients!$R32:$R$53, "&gt;="&amp;EOMONTH(Stats!$A28, -1)+1, Clients!$R32:$R$53, "&lt;="&amp;EOMONTH(Stats!$A28, 0))
</f>
        <v>0</v>
      </c>
      <c r="O28" s="55">
        <f>COUNTIFS(Clients!$L32:$L$53, "Premium", Clients!$R32:$R$53, "&gt;="&amp;EOMONTH(Stats!$A28, -1)+1, Clients!$R32:$R$53, "&lt;="&amp;EOMONTH(Stats!$A28, 0))
</f>
        <v>0</v>
      </c>
      <c r="P28" s="54">
        <f>SUMPRODUCT(Clients!$S32:$S$53 * (Clients!$R32:$R$53 &gt;= EOMONTH(Stats!$A28, -1)+1) * (Clients!$R32:$R$53 &lt;= EOMONTH(Stats!$A28, 0)))
</f>
        <v>0</v>
      </c>
      <c r="Q28" s="55"/>
      <c r="R28" s="55"/>
      <c r="S28" s="55"/>
      <c r="T28" s="55"/>
      <c r="U28" s="54">
        <f>SUMPRODUCT(Clients!$T32:$T$53, (Clients!$F32:$F$53 &gt;= EOMONTH(Stats!$A28, -1)+1) * (Clients!$F32:$F$53 &lt;= EOMONTH(Stats!$A28, 0)))
</f>
        <v>540</v>
      </c>
      <c r="V28" s="54">
        <f>SUMPRODUCT(Clients!$S32:$S$53, (Clients!$F32:$F$53 &gt;= EOMONTH(Stats!$A28, -1)+1) * (Clients!$F32:$F$53 &lt;= EOMONTH(Stats!$A28, 0)))
</f>
        <v>150</v>
      </c>
      <c r="W28" s="54">
        <f>SUMPRODUCT(Clients!$U32:$U$53, (Clients!$F32:$F$53 &gt;= EOMONTH(Stats!$A28, -1)+1) * (Clients!$F32:$F$53 &lt;= EOMONTH(Stats!$A28, 0)))
</f>
        <v>390</v>
      </c>
      <c r="X28" s="59">
        <f t="shared" si="15"/>
        <v>1080</v>
      </c>
      <c r="Y28" s="63"/>
      <c r="Z28" s="55"/>
      <c r="AA28" s="55"/>
      <c r="AB28" s="61"/>
      <c r="AC28" s="55"/>
      <c r="AD28" s="55"/>
      <c r="AE28" s="55"/>
      <c r="AF28" s="55"/>
      <c r="AG28" s="55"/>
      <c r="AH28" s="55"/>
      <c r="AI28" s="55"/>
      <c r="AJ28" s="55"/>
    </row>
    <row r="29" hidden="1">
      <c r="A29" s="52"/>
      <c r="B29" s="55"/>
      <c r="C29" s="54"/>
      <c r="D29" s="54"/>
      <c r="E29" s="55"/>
      <c r="F29" s="55"/>
      <c r="G29" s="55"/>
      <c r="H29" s="55"/>
      <c r="I29" s="54"/>
      <c r="J29" s="55"/>
      <c r="K29" s="55"/>
      <c r="L29" s="55"/>
      <c r="M29" s="55"/>
      <c r="N29" s="55"/>
      <c r="O29" s="55"/>
      <c r="P29" s="54"/>
      <c r="Q29" s="54"/>
      <c r="R29" s="54"/>
      <c r="S29" s="54"/>
      <c r="T29" s="54"/>
      <c r="U29" s="54"/>
      <c r="V29" s="54"/>
      <c r="W29" s="54"/>
      <c r="X29" s="63"/>
      <c r="Y29" s="63"/>
      <c r="Z29" s="55"/>
      <c r="AA29" s="55"/>
      <c r="AB29" s="61"/>
      <c r="AC29" s="55"/>
      <c r="AD29" s="55"/>
      <c r="AE29" s="55"/>
      <c r="AF29" s="55"/>
      <c r="AG29" s="55"/>
      <c r="AH29" s="55"/>
      <c r="AI29" s="55"/>
      <c r="AJ29" s="55"/>
    </row>
    <row r="30" hidden="1">
      <c r="A30" s="52"/>
      <c r="B30" s="55"/>
      <c r="C30" s="54"/>
      <c r="D30" s="54"/>
      <c r="E30" s="55"/>
      <c r="F30" s="55"/>
      <c r="G30" s="55"/>
      <c r="H30" s="55"/>
      <c r="I30" s="54"/>
      <c r="J30" s="55"/>
      <c r="K30" s="55"/>
      <c r="L30" s="55"/>
      <c r="M30" s="55"/>
      <c r="N30" s="55"/>
      <c r="O30" s="55"/>
      <c r="P30" s="54"/>
      <c r="Q30" s="54"/>
      <c r="R30" s="54"/>
      <c r="S30" s="54"/>
      <c r="T30" s="54"/>
      <c r="U30" s="54"/>
      <c r="V30" s="54"/>
      <c r="W30" s="54"/>
      <c r="X30" s="63"/>
      <c r="Y30" s="63"/>
      <c r="Z30" s="55"/>
      <c r="AA30" s="55"/>
      <c r="AB30" s="61"/>
      <c r="AC30" s="55"/>
      <c r="AD30" s="55"/>
      <c r="AE30" s="55"/>
      <c r="AF30" s="55"/>
      <c r="AG30" s="55"/>
      <c r="AH30" s="55"/>
      <c r="AI30" s="55"/>
      <c r="AJ30" s="55"/>
    </row>
    <row r="31">
      <c r="A31" s="62">
        <v>2026.0</v>
      </c>
      <c r="B31" s="63"/>
      <c r="C31" s="59"/>
      <c r="D31" s="59"/>
      <c r="E31" s="63"/>
      <c r="F31" s="63"/>
      <c r="G31" s="63"/>
      <c r="H31" s="63"/>
      <c r="I31" s="59"/>
      <c r="J31" s="63"/>
      <c r="K31" s="63"/>
      <c r="L31" s="63"/>
      <c r="M31" s="63"/>
      <c r="N31" s="63"/>
      <c r="O31" s="63"/>
      <c r="P31" s="59">
        <f>SUMPRODUCT(Clients!$S32:$S$53 * (YEAR(Clients!$R32:$R$53)=Stats!$A31)) 
</f>
        <v>690</v>
      </c>
      <c r="Q31" s="59"/>
      <c r="R31" s="59"/>
      <c r="S31" s="59"/>
      <c r="T31" s="59"/>
      <c r="U31" s="59">
        <f t="shared" ref="U31:X31" si="22">SUM(U17:U28)</f>
        <v>29497.3</v>
      </c>
      <c r="V31" s="59">
        <f t="shared" si="22"/>
        <v>9267</v>
      </c>
      <c r="W31" s="59">
        <f t="shared" si="22"/>
        <v>20530.3</v>
      </c>
      <c r="X31" s="59">
        <f t="shared" si="22"/>
        <v>59984.6</v>
      </c>
      <c r="Y31" s="63"/>
      <c r="Z31" s="55"/>
      <c r="AA31" s="55"/>
      <c r="AB31" s="61"/>
      <c r="AC31" s="55"/>
      <c r="AD31" s="63"/>
      <c r="AE31" s="63"/>
      <c r="AF31" s="63"/>
      <c r="AG31" s="63"/>
      <c r="AH31" s="63"/>
      <c r="AI31" s="63"/>
      <c r="AJ31" s="63"/>
    </row>
    <row r="32">
      <c r="A32" s="62">
        <v>2027.0</v>
      </c>
      <c r="B32" s="63"/>
      <c r="C32" s="59"/>
      <c r="D32" s="59"/>
      <c r="E32" s="63"/>
      <c r="F32" s="63"/>
      <c r="G32" s="63"/>
      <c r="H32" s="63"/>
      <c r="I32" s="59"/>
      <c r="J32" s="63"/>
      <c r="K32" s="63"/>
      <c r="L32" s="63"/>
      <c r="M32" s="63"/>
      <c r="N32" s="63"/>
      <c r="O32" s="63"/>
      <c r="P32" s="59">
        <f>SUMPRODUCT(Clients!$S32:$S$53 * (YEAR(Clients!$R32:$R$53)=Stats!$A32)) 
</f>
        <v>0</v>
      </c>
      <c r="Q32" s="59"/>
      <c r="R32" s="59"/>
      <c r="S32" s="59"/>
      <c r="T32" s="59"/>
      <c r="U32" s="59">
        <f>SUMPRODUCT(Clients!$T32:$T$53 * (YEAR(Clients!$F32:$F$53)=Stats!$A32)) 
</f>
        <v>1430</v>
      </c>
      <c r="V32" s="59">
        <f>SUMPRODUCT(Clients!$S32:$S$53 * (YEAR(Clients!$F32:$F$53)=Stats!$A32)) 
</f>
        <v>330</v>
      </c>
      <c r="W32" s="59">
        <f>SUMPRODUCT(Clients!$U32:$U$53 * (YEAR(Clients!$F32:$F$53)=Stats!A32)) 
</f>
        <v>1100</v>
      </c>
      <c r="X32" s="63"/>
      <c r="Y32" s="63"/>
      <c r="Z32" s="55"/>
      <c r="AA32" s="55"/>
      <c r="AB32" s="61"/>
      <c r="AC32" s="55"/>
      <c r="AD32" s="63"/>
      <c r="AE32" s="63"/>
      <c r="AF32" s="63"/>
      <c r="AG32" s="63"/>
      <c r="AH32" s="63"/>
      <c r="AI32" s="63"/>
      <c r="AJ32" s="6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25"/>
  </cols>
  <sheetData>
    <row r="1">
      <c r="A1" s="49" t="s">
        <v>933</v>
      </c>
      <c r="B1" s="49" t="s">
        <v>21</v>
      </c>
      <c r="C1" s="49" t="s">
        <v>969</v>
      </c>
      <c r="D1" s="49" t="s">
        <v>970</v>
      </c>
      <c r="E1" s="49" t="s">
        <v>971</v>
      </c>
      <c r="F1" s="49"/>
      <c r="G1" s="49" t="s">
        <v>19</v>
      </c>
    </row>
    <row r="2">
      <c r="A2" s="51">
        <v>45931.0</v>
      </c>
      <c r="B2" s="64" t="s">
        <v>380</v>
      </c>
      <c r="C2" s="65">
        <f>IF(OR($A2="",$B2=""),"",SUMIFS(
  Clients!$W:$W,
  Clients!$V:$V, $B2,
  Clients!$F:$F, "&gt;="&amp;$A2,
  Clients!$F:$F, "&lt;"&amp;DATE(YEAR($A2), MONTH($A2)+1, 1)
))</f>
        <v>11</v>
      </c>
      <c r="D2" s="66">
        <v>13.0</v>
      </c>
      <c r="E2" s="66">
        <f t="shared" ref="E2:E3" si="1">IF(C2="","", D2 * 14)</f>
        <v>182</v>
      </c>
      <c r="F2" s="64"/>
      <c r="G2" s="66">
        <f t="shared" ref="G2:G4" si="2">E2</f>
        <v>182</v>
      </c>
    </row>
    <row r="3">
      <c r="A3" s="51">
        <v>45962.0</v>
      </c>
      <c r="B3" s="64" t="s">
        <v>380</v>
      </c>
      <c r="C3" s="65">
        <f>IF(OR($A3="",$B3=""),"",SUMIFS(
  Clients!$W:$W,
  Clients!$V:$V, $B3,
  Clients!$F:$F, "&gt;="&amp;$A3,
  Clients!$F:$F, "&lt;"&amp;DATE(YEAR($A3), MONTH($A3)+1, 1)
))</f>
        <v>21</v>
      </c>
      <c r="D3" s="66">
        <v>24.0</v>
      </c>
      <c r="E3" s="66">
        <f t="shared" si="1"/>
        <v>336</v>
      </c>
      <c r="F3" s="64"/>
      <c r="G3" s="66">
        <f t="shared" si="2"/>
        <v>336</v>
      </c>
    </row>
    <row r="4">
      <c r="A4" s="51">
        <v>45992.0</v>
      </c>
      <c r="B4" s="64" t="s">
        <v>380</v>
      </c>
      <c r="C4" s="65">
        <f>IF(OR($A4="",$B4=""),"",SUMIFS(
  Clients!$W:$W,
  Clients!$V:$V, $B4,
  Clients!$F:$F, "&gt;="&amp;$A4,
  Clients!$F:$F, "&lt;"&amp;DATE(YEAR($A4), MONTH($A4)+1, 1)
))</f>
        <v>33.5</v>
      </c>
      <c r="D4" s="66"/>
      <c r="E4" s="66">
        <f>IF(C4="","", C4 * 14)</f>
        <v>469</v>
      </c>
      <c r="F4" s="64"/>
      <c r="G4" s="66">
        <f t="shared" si="2"/>
        <v>469</v>
      </c>
    </row>
    <row r="5">
      <c r="A5" s="49"/>
      <c r="B5" s="49"/>
      <c r="C5" s="67"/>
      <c r="D5" s="68"/>
      <c r="E5" s="68"/>
    </row>
    <row r="6">
      <c r="C6" s="65"/>
      <c r="D6" s="66"/>
      <c r="E6" s="66"/>
    </row>
    <row r="7">
      <c r="C7" s="65"/>
      <c r="D7" s="66"/>
      <c r="E7" s="66"/>
    </row>
    <row r="8">
      <c r="C8" s="65"/>
      <c r="D8" s="66"/>
      <c r="E8" s="66"/>
    </row>
    <row r="9">
      <c r="C9" s="65"/>
      <c r="D9" s="66"/>
      <c r="E9" s="66"/>
    </row>
    <row r="10">
      <c r="C10" s="65"/>
      <c r="D10" s="66"/>
      <c r="E10" s="66"/>
    </row>
    <row r="11">
      <c r="C11" s="65"/>
      <c r="D11" s="66"/>
      <c r="E11" s="66"/>
    </row>
    <row r="12">
      <c r="C12" s="65"/>
      <c r="D12" s="66"/>
      <c r="E12" s="66"/>
    </row>
    <row r="13">
      <c r="C13" s="65"/>
      <c r="D13" s="66"/>
      <c r="E13" s="66"/>
    </row>
    <row r="14">
      <c r="C14" s="65"/>
      <c r="D14" s="66"/>
      <c r="E14" s="6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1.75"/>
    <col customWidth="1" min="3" max="3" width="15.13"/>
    <col customWidth="1" min="4" max="4" width="23.0"/>
    <col customWidth="1" min="5" max="8" width="10.5"/>
    <col customWidth="1" min="9" max="9" width="13.88"/>
    <col customWidth="1" min="10" max="11" width="17.88"/>
    <col customWidth="1" min="12" max="12" width="10.63"/>
    <col customWidth="1" min="13" max="14" width="17.88"/>
    <col customWidth="1" min="15" max="22" width="19.0"/>
  </cols>
  <sheetData>
    <row r="1">
      <c r="A1" s="50" t="s">
        <v>933</v>
      </c>
      <c r="B1" s="50" t="s">
        <v>27</v>
      </c>
      <c r="C1" s="50" t="s">
        <v>972</v>
      </c>
      <c r="D1" s="50" t="s">
        <v>973</v>
      </c>
      <c r="E1" s="50" t="s">
        <v>974</v>
      </c>
      <c r="F1" s="50" t="s">
        <v>975</v>
      </c>
      <c r="G1" s="50" t="s">
        <v>976</v>
      </c>
      <c r="H1" s="50" t="s">
        <v>977</v>
      </c>
      <c r="I1" s="49" t="s">
        <v>978</v>
      </c>
      <c r="J1" s="49" t="s">
        <v>979</v>
      </c>
      <c r="K1" s="49" t="s">
        <v>980</v>
      </c>
      <c r="L1" s="49" t="s">
        <v>981</v>
      </c>
      <c r="M1" s="49" t="s">
        <v>982</v>
      </c>
      <c r="N1" s="49" t="s">
        <v>983</v>
      </c>
      <c r="O1" s="49" t="s">
        <v>984</v>
      </c>
      <c r="P1" s="50" t="s">
        <v>985</v>
      </c>
      <c r="Q1" s="50" t="s">
        <v>986</v>
      </c>
      <c r="R1" s="49" t="s">
        <v>987</v>
      </c>
      <c r="S1" s="49" t="s">
        <v>988</v>
      </c>
      <c r="T1" s="49" t="s">
        <v>989</v>
      </c>
      <c r="U1" s="49" t="s">
        <v>990</v>
      </c>
      <c r="V1" s="49" t="s">
        <v>991</v>
      </c>
    </row>
    <row r="2">
      <c r="A2" s="69">
        <v>45962.0</v>
      </c>
      <c r="B2" s="64" t="s">
        <v>711</v>
      </c>
      <c r="C2" s="64">
        <v>438.0</v>
      </c>
      <c r="D2" s="64">
        <v>310.0</v>
      </c>
      <c r="E2" s="64">
        <v>128.0</v>
      </c>
      <c r="F2" s="64">
        <v>98.0</v>
      </c>
      <c r="G2" s="64">
        <v>51.0</v>
      </c>
      <c r="H2" s="64">
        <v>22.0</v>
      </c>
      <c r="I2" s="70">
        <f t="shared" ref="I2:I6" si="1">IF(K2=0,0,H2/K2)</f>
        <v>0.171875</v>
      </c>
      <c r="J2" s="71">
        <f t="shared" ref="J2:J6" si="2">IF(I2="",0,
   IF(I2&gt;=0.2,100,
      IF(I2&gt;=0.15,75,
         IF(I2&gt;=0.1,50, IF(I2&gt;=0.08,25,0)
      )
   )
))</f>
        <v>75</v>
      </c>
      <c r="K2" s="72">
        <f t="shared" ref="K2:K6" si="3">E2</f>
        <v>128</v>
      </c>
      <c r="L2" s="72">
        <f>COUNTIFS(
  Clients!AB:AB, "Nizar",
  Clients!R:R, "&gt;=" &amp; DATE(YEAR(A2), MONTH(A2), 1),
  Clients!R:R, "&lt;" &amp; DATE(YEAR(A2), MONTH(A2)+1, 1)
)</f>
        <v>6</v>
      </c>
      <c r="M2" s="73">
        <f t="shared" ref="M2:M6" si="4">IF(E2=0,0,L2/E2)</f>
        <v>0.046875</v>
      </c>
      <c r="N2" s="71">
        <f>SUMIFS(
  Clients!AC:AC, 
  Clients!AB:AB, "Nizar",
  Clients!R:R, "&gt;=" &amp; DATE(YEAR(A2), MONTH(A2), 1),
  Clients!R:R, "&lt;" &amp; DATE(YEAR(A2), MONTH(A2)+1, 1)
)</f>
        <v>270</v>
      </c>
      <c r="O2" s="66">
        <f t="shared" ref="O2:O6" si="5">IF(M2="",0,
   IF(M2&gt;=0.12,150,
      IF(M2&gt;=0.1,100,
         IF(M2&gt;=0.08,50, IF(M2&gt;=0.05,25, 0)
      )
   )
))</f>
        <v>0</v>
      </c>
      <c r="P2" s="74">
        <v>40.0</v>
      </c>
      <c r="Q2" s="74">
        <v>1.0</v>
      </c>
      <c r="R2" s="70">
        <f t="shared" ref="R2:R4" si="6">IF(Q2=0,0,Q2/P2)</f>
        <v>0.025</v>
      </c>
      <c r="S2" s="66">
        <f t="shared" ref="S2:S4" si="7">IF(R2="",0,
   IF(R2&gt;=1,75,
      IF(R2&gt;=0.9,50,
         IF(R2&gt;=0.8,25,0)
      )
   )
)</f>
        <v>0</v>
      </c>
      <c r="T2" s="66">
        <v>150.0</v>
      </c>
      <c r="U2" s="71">
        <f t="shared" ref="U2:U4" si="8">IF(N2="",0,N2+T2)</f>
        <v>420</v>
      </c>
      <c r="V2" s="71">
        <f t="shared" ref="V2:V4" si="9">IF(U2=0,0,U2/1.21)</f>
        <v>347.107438</v>
      </c>
    </row>
    <row r="3">
      <c r="A3" s="75">
        <v>45992.0</v>
      </c>
      <c r="B3" s="64" t="s">
        <v>711</v>
      </c>
      <c r="C3" s="64"/>
      <c r="D3" s="64">
        <v>4.0</v>
      </c>
      <c r="E3" s="64">
        <v>2.0</v>
      </c>
      <c r="F3" s="64">
        <v>2.0</v>
      </c>
      <c r="G3" s="64"/>
      <c r="H3" s="64"/>
      <c r="I3" s="70">
        <f t="shared" si="1"/>
        <v>0</v>
      </c>
      <c r="J3" s="71">
        <f t="shared" si="2"/>
        <v>0</v>
      </c>
      <c r="K3" s="72">
        <f t="shared" si="3"/>
        <v>2</v>
      </c>
      <c r="L3" s="72">
        <f>COUNTIFS(
  Clients!AB:AB, "Nizar",
  Clients!R:R, "&gt;=" &amp; DATE(YEAR(A3), MONTH(A3), 1),
  Clients!R:R, "&lt;" &amp; DATE(YEAR(A3), MONTH(A3)+1, 1)
)</f>
        <v>0</v>
      </c>
      <c r="M3" s="73">
        <f t="shared" si="4"/>
        <v>0</v>
      </c>
      <c r="N3" s="71">
        <f>SUMIFS(
  Clients!AC:AC, 
  Clients!AB:AB, "Nizar",
  Clients!R:R, "&gt;=" &amp; DATE(YEAR(A3), MONTH(A3), 1),
  Clients!R:R, "&lt;" &amp; DATE(YEAR(A3), MONTH(A3)+1, 1)
)</f>
        <v>0</v>
      </c>
      <c r="O3" s="66">
        <f t="shared" si="5"/>
        <v>0</v>
      </c>
      <c r="P3" s="66"/>
      <c r="Q3" s="66"/>
      <c r="R3" s="70">
        <f t="shared" si="6"/>
        <v>0</v>
      </c>
      <c r="S3" s="66">
        <f t="shared" si="7"/>
        <v>0</v>
      </c>
      <c r="T3" s="66">
        <f t="shared" ref="T3:T4" si="10">IF(SUM(J3,O3)=0,0,J3+O3)</f>
        <v>0</v>
      </c>
      <c r="U3" s="71">
        <f t="shared" si="8"/>
        <v>0</v>
      </c>
      <c r="V3" s="71">
        <f t="shared" si="9"/>
        <v>0</v>
      </c>
    </row>
    <row r="4">
      <c r="A4" s="75">
        <v>45992.0</v>
      </c>
      <c r="B4" s="64" t="s">
        <v>992</v>
      </c>
      <c r="C4" s="55"/>
      <c r="D4" s="52">
        <v>2.0</v>
      </c>
      <c r="E4" s="52">
        <v>3.0</v>
      </c>
      <c r="F4" s="52">
        <v>3.0</v>
      </c>
      <c r="G4" s="52">
        <v>3.0</v>
      </c>
      <c r="H4" s="52">
        <v>3.0</v>
      </c>
      <c r="I4" s="70">
        <f t="shared" si="1"/>
        <v>1</v>
      </c>
      <c r="J4" s="71">
        <f t="shared" si="2"/>
        <v>100</v>
      </c>
      <c r="K4" s="72">
        <f t="shared" si="3"/>
        <v>3</v>
      </c>
      <c r="L4" s="72">
        <f>COUNTIFS(
  Clients!AB:AB, "Nizar",
  Clients!R:R, "&gt;=" &amp; DATE(YEAR(A4), MONTH(A4), 1),
  Clients!R:R, "&lt;" &amp; DATE(YEAR(A4), MONTH(A4)+1, 1)
)</f>
        <v>0</v>
      </c>
      <c r="M4" s="73">
        <f t="shared" si="4"/>
        <v>0</v>
      </c>
      <c r="N4" s="71">
        <f>SUMIFS(
  Clients!AC:AC, 
  Clients!AB:AB, "Nizar",
  Clients!R:R, "&gt;=" &amp; DATE(YEAR(A4), MONTH(A4), 1),
  Clients!R:R, "&lt;" &amp; DATE(YEAR(A4), MONTH(A4)+1, 1)
)</f>
        <v>0</v>
      </c>
      <c r="O4" s="66">
        <f t="shared" si="5"/>
        <v>0</v>
      </c>
      <c r="P4" s="55"/>
      <c r="Q4" s="55"/>
      <c r="R4" s="70">
        <f t="shared" si="6"/>
        <v>0</v>
      </c>
      <c r="S4" s="66">
        <f t="shared" si="7"/>
        <v>0</v>
      </c>
      <c r="T4" s="66">
        <f t="shared" si="10"/>
        <v>100</v>
      </c>
      <c r="U4" s="71">
        <f t="shared" si="8"/>
        <v>100</v>
      </c>
      <c r="V4" s="71">
        <f t="shared" si="9"/>
        <v>82.6446281</v>
      </c>
    </row>
    <row r="5">
      <c r="A5" s="75">
        <v>45992.0</v>
      </c>
      <c r="B5" s="64" t="s">
        <v>993</v>
      </c>
      <c r="C5" s="55"/>
      <c r="D5" s="55"/>
      <c r="E5" s="55"/>
      <c r="F5" s="55"/>
      <c r="G5" s="55"/>
      <c r="H5" s="55"/>
      <c r="I5" s="70">
        <f t="shared" si="1"/>
        <v>0</v>
      </c>
      <c r="J5" s="71">
        <f t="shared" si="2"/>
        <v>0</v>
      </c>
      <c r="K5" s="72" t="str">
        <f t="shared" si="3"/>
        <v/>
      </c>
      <c r="L5" s="72">
        <f>COUNTIFS(
  Clients!AB:AB, "Nizar",
  Clients!R:R, "&gt;=" &amp; DATE(YEAR(A5), MONTH(A5), 1),
  Clients!R:R, "&lt;" &amp; DATE(YEAR(A5), MONTH(A5)+1, 1)
)</f>
        <v>0</v>
      </c>
      <c r="M5" s="73">
        <f t="shared" si="4"/>
        <v>0</v>
      </c>
      <c r="N5" s="71">
        <f>SUMIFS(
  Clients!AC:AC, 
  Clients!AB:AB, "Nizar",
  Clients!R:R, "&gt;=" &amp; DATE(YEAR(A5), MONTH(A5), 1),
  Clients!R:R, "&lt;" &amp; DATE(YEAR(A5), MONTH(A5)+1, 1)
)</f>
        <v>0</v>
      </c>
      <c r="O5" s="66">
        <f t="shared" si="5"/>
        <v>0</v>
      </c>
      <c r="P5" s="55"/>
      <c r="Q5" s="55"/>
      <c r="R5" s="70"/>
      <c r="S5" s="55"/>
      <c r="T5" s="55"/>
      <c r="U5" s="55"/>
      <c r="V5" s="55"/>
    </row>
    <row r="6">
      <c r="A6" s="75">
        <v>45992.0</v>
      </c>
      <c r="B6" s="64" t="s">
        <v>875</v>
      </c>
      <c r="C6" s="52">
        <v>81.0</v>
      </c>
      <c r="D6" s="52">
        <v>47.0</v>
      </c>
      <c r="E6" s="52">
        <v>37.0</v>
      </c>
      <c r="F6" s="52">
        <v>25.0</v>
      </c>
      <c r="G6" s="52">
        <v>7.0</v>
      </c>
      <c r="H6" s="52">
        <v>3.0</v>
      </c>
      <c r="I6" s="70">
        <f t="shared" si="1"/>
        <v>0.08108108108</v>
      </c>
      <c r="J6" s="71">
        <f t="shared" si="2"/>
        <v>25</v>
      </c>
      <c r="K6" s="72">
        <f t="shared" si="3"/>
        <v>37</v>
      </c>
      <c r="L6" s="72">
        <f>COUNTIFS(
  Clients!AB:AB, "Assiyaa",
  Clients!R:R, "&gt;=" &amp; DATE(YEAR(A6), MONTH(A6), 1),
  Clients!R:R, "&lt;" &amp; DATE(YEAR(A6), MONTH(A6)+1, 1)
)</f>
        <v>2</v>
      </c>
      <c r="M6" s="73">
        <f t="shared" si="4"/>
        <v>0.05405405405</v>
      </c>
      <c r="N6" s="71">
        <f>SUMIFS(
  Clients!AC:AC, 
  Clients!AB:AB, "Assiyaa",
  Clients!R:R, "&gt;=" &amp; DATE(YEAR(A6), MONTH(A6), 1),
  Clients!R:R, "&lt;" &amp; DATE(YEAR(A6), MONTH(A6)+1, 1)
)</f>
        <v>100</v>
      </c>
      <c r="O6" s="66">
        <f t="shared" si="5"/>
        <v>25</v>
      </c>
      <c r="P6" s="55"/>
      <c r="Q6" s="55"/>
      <c r="R6" s="70"/>
      <c r="S6" s="55"/>
      <c r="T6" s="55"/>
      <c r="U6" s="55"/>
      <c r="V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70"/>
      <c r="S7" s="55"/>
      <c r="T7" s="55"/>
      <c r="U7" s="55"/>
      <c r="V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70"/>
      <c r="S8" s="55"/>
      <c r="T8" s="55"/>
      <c r="U8" s="55"/>
      <c r="V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70"/>
      <c r="S9" s="55"/>
      <c r="T9" s="55"/>
      <c r="U9" s="55"/>
      <c r="V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70"/>
      <c r="S10" s="55"/>
      <c r="T10" s="55"/>
      <c r="U10" s="55"/>
      <c r="V10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12" max="12" width="18.88"/>
    <col customWidth="1" min="13" max="13" width="31.5"/>
    <col customWidth="1" min="14" max="14" width="20.5"/>
  </cols>
  <sheetData>
    <row r="1">
      <c r="A1" s="76" t="s">
        <v>994</v>
      </c>
      <c r="B1" s="76" t="s">
        <v>995</v>
      </c>
      <c r="C1" s="77" t="s">
        <v>996</v>
      </c>
      <c r="D1" s="76" t="s">
        <v>997</v>
      </c>
      <c r="E1" s="76" t="s">
        <v>998</v>
      </c>
      <c r="F1" s="76" t="s">
        <v>999</v>
      </c>
      <c r="G1" s="76" t="s">
        <v>1000</v>
      </c>
      <c r="H1" s="76" t="s">
        <v>1001</v>
      </c>
      <c r="I1" s="76" t="s">
        <v>1002</v>
      </c>
      <c r="J1" s="76" t="s">
        <v>1003</v>
      </c>
      <c r="K1" s="78"/>
      <c r="L1" s="78" t="s">
        <v>1004</v>
      </c>
      <c r="M1" s="78" t="s">
        <v>1005</v>
      </c>
      <c r="N1" s="78" t="s">
        <v>1006</v>
      </c>
      <c r="O1" s="79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1"/>
    </row>
    <row r="2">
      <c r="A2" s="82" t="s">
        <v>1007</v>
      </c>
      <c r="B2" s="83">
        <f>290/1.21</f>
        <v>239.6694215</v>
      </c>
      <c r="C2" s="84">
        <v>23.12</v>
      </c>
      <c r="D2" s="85">
        <f t="shared" ref="D2:D4" si="1">90/1.21</f>
        <v>74.38016529</v>
      </c>
      <c r="E2" s="85">
        <f t="shared" ref="E2:E4" si="2">IFERROR(B2 + D2 - C2 ,"")</f>
        <v>290.9295868</v>
      </c>
      <c r="F2" s="83">
        <v>35.0</v>
      </c>
      <c r="G2" s="86">
        <f t="shared" ref="G2:G4" si="3">IF(E2&lt;=0,"",ROUNDUP($B$29/E2,0))</f>
        <v>2</v>
      </c>
      <c r="H2" s="85">
        <f t="shared" ref="H2:H4" si="4">150/1.21</f>
        <v>123.9669421</v>
      </c>
      <c r="I2" s="87"/>
      <c r="J2" s="88"/>
      <c r="K2" s="81"/>
      <c r="L2" s="89" t="s">
        <v>1008</v>
      </c>
      <c r="M2" s="90" t="s">
        <v>1009</v>
      </c>
      <c r="N2" s="91" t="s">
        <v>1010</v>
      </c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>
      <c r="A3" s="92" t="s">
        <v>1011</v>
      </c>
      <c r="B3" s="83">
        <f>390/1.21</f>
        <v>322.3140496</v>
      </c>
      <c r="C3" s="84">
        <v>46.25</v>
      </c>
      <c r="D3" s="93">
        <f t="shared" si="1"/>
        <v>74.38016529</v>
      </c>
      <c r="E3" s="93">
        <f t="shared" si="2"/>
        <v>350.4442149</v>
      </c>
      <c r="F3" s="94">
        <v>45.0</v>
      </c>
      <c r="G3" s="86">
        <f t="shared" si="3"/>
        <v>2</v>
      </c>
      <c r="H3" s="93">
        <f t="shared" si="4"/>
        <v>123.9669421</v>
      </c>
      <c r="I3" s="95"/>
      <c r="J3" s="95"/>
      <c r="K3" s="81"/>
      <c r="L3" s="96"/>
      <c r="M3" s="97"/>
      <c r="N3" s="98" t="s">
        <v>1012</v>
      </c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</row>
    <row r="4">
      <c r="A4" s="82" t="s">
        <v>1013</v>
      </c>
      <c r="B4" s="83">
        <f>490/1.21</f>
        <v>404.9586777</v>
      </c>
      <c r="C4" s="84">
        <v>92.5</v>
      </c>
      <c r="D4" s="85">
        <f t="shared" si="1"/>
        <v>74.38016529</v>
      </c>
      <c r="E4" s="85">
        <f t="shared" si="2"/>
        <v>386.838843</v>
      </c>
      <c r="F4" s="83">
        <v>55.0</v>
      </c>
      <c r="G4" s="86">
        <f t="shared" si="3"/>
        <v>2</v>
      </c>
      <c r="H4" s="85">
        <f t="shared" si="4"/>
        <v>123.9669421</v>
      </c>
      <c r="I4" s="87"/>
      <c r="J4" s="87"/>
      <c r="K4" s="81"/>
      <c r="L4" s="99"/>
      <c r="M4" s="100"/>
      <c r="N4" s="101" t="s">
        <v>1014</v>
      </c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</row>
    <row r="5">
      <c r="A5" s="87"/>
      <c r="B5" s="102"/>
      <c r="C5" s="103"/>
      <c r="D5" s="102"/>
      <c r="E5" s="102"/>
      <c r="F5" s="102"/>
      <c r="G5" s="87"/>
      <c r="H5" s="87"/>
      <c r="I5" s="87"/>
      <c r="J5" s="87"/>
      <c r="K5" s="81"/>
      <c r="L5" s="89" t="s">
        <v>1015</v>
      </c>
      <c r="M5" s="90" t="s">
        <v>1016</v>
      </c>
      <c r="N5" s="91" t="s">
        <v>1017</v>
      </c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</row>
    <row r="6">
      <c r="A6" s="95"/>
      <c r="B6" s="95"/>
      <c r="C6" s="104"/>
      <c r="D6" s="95"/>
      <c r="E6" s="95"/>
      <c r="F6" s="95"/>
      <c r="G6" s="95" t="str">
        <f>IF(E6&lt;=0,"",ROUNDUP('Frais Fixes '!$B$17/E6,0))</f>
        <v/>
      </c>
      <c r="H6" s="95"/>
      <c r="I6" s="95"/>
      <c r="J6" s="95"/>
      <c r="K6" s="81"/>
      <c r="L6" s="96"/>
      <c r="M6" s="97"/>
      <c r="N6" s="98" t="s">
        <v>1018</v>
      </c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>
      <c r="A7" s="81"/>
      <c r="B7" s="81"/>
      <c r="C7" s="105"/>
      <c r="D7" s="81"/>
      <c r="E7" s="81"/>
      <c r="F7" s="81"/>
      <c r="G7" s="81"/>
      <c r="H7" s="81"/>
      <c r="I7" s="81"/>
      <c r="J7" s="81"/>
      <c r="K7" s="81"/>
      <c r="L7" s="99"/>
      <c r="M7" s="100"/>
      <c r="N7" s="101" t="s">
        <v>1019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>
      <c r="A8" s="106" t="s">
        <v>1020</v>
      </c>
      <c r="B8" s="107">
        <f>SUMPRODUCT(I2:I4,E2:E4) + SUMPRODUCT(J2:J4,H2:H4) - B29</f>
        <v>-441.64</v>
      </c>
      <c r="C8" s="105"/>
      <c r="D8" s="81"/>
      <c r="E8" s="81"/>
      <c r="F8" s="81"/>
      <c r="G8" s="81"/>
      <c r="H8" s="81"/>
      <c r="I8" s="81"/>
      <c r="J8" s="81"/>
      <c r="K8" s="81"/>
      <c r="L8" s="89" t="s">
        <v>1021</v>
      </c>
      <c r="M8" s="90" t="s">
        <v>1022</v>
      </c>
      <c r="N8" s="91" t="s">
        <v>1023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>
      <c r="C9" s="22"/>
      <c r="L9" s="108"/>
      <c r="N9" s="109" t="s">
        <v>1024</v>
      </c>
    </row>
    <row r="10">
      <c r="C10" s="22"/>
      <c r="L10" s="110"/>
      <c r="M10" s="111"/>
      <c r="N10" s="112" t="s">
        <v>1025</v>
      </c>
    </row>
    <row r="11">
      <c r="C11" s="22"/>
      <c r="N11" s="113"/>
    </row>
    <row r="12">
      <c r="C12" s="22"/>
      <c r="N12" s="113"/>
    </row>
    <row r="13">
      <c r="C13" s="22"/>
      <c r="N13" s="113"/>
    </row>
    <row r="14">
      <c r="C14" s="22"/>
      <c r="N14" s="113"/>
    </row>
    <row r="15">
      <c r="A15" s="114" t="s">
        <v>1026</v>
      </c>
      <c r="B15" s="114" t="s">
        <v>1027</v>
      </c>
      <c r="C15" s="22"/>
      <c r="N15" s="113"/>
    </row>
    <row r="16">
      <c r="A16" s="115"/>
      <c r="B16" s="116"/>
      <c r="C16" s="22"/>
      <c r="N16" s="113"/>
    </row>
    <row r="17">
      <c r="A17" s="117"/>
      <c r="B17" s="118"/>
      <c r="C17" s="22"/>
      <c r="N17" s="113"/>
    </row>
    <row r="18">
      <c r="A18" s="115" t="s">
        <v>1028</v>
      </c>
      <c r="B18" s="116">
        <v>12.0</v>
      </c>
      <c r="C18" s="22"/>
      <c r="N18" s="113"/>
    </row>
    <row r="19">
      <c r="A19" s="117" t="s">
        <v>1029</v>
      </c>
      <c r="B19" s="118">
        <v>130.48</v>
      </c>
      <c r="C19" s="22"/>
      <c r="N19" s="113"/>
    </row>
    <row r="20">
      <c r="A20" s="115" t="s">
        <v>1030</v>
      </c>
      <c r="B20" s="116">
        <v>150.0</v>
      </c>
      <c r="C20" s="22"/>
      <c r="N20" s="113"/>
    </row>
    <row r="21">
      <c r="A21" s="117" t="s">
        <v>1031</v>
      </c>
      <c r="B21" s="118">
        <v>120.0</v>
      </c>
      <c r="C21" s="22"/>
      <c r="N21" s="113"/>
    </row>
    <row r="22">
      <c r="A22" s="115" t="s">
        <v>1032</v>
      </c>
      <c r="B22" s="116">
        <v>9.16</v>
      </c>
      <c r="C22" s="22"/>
      <c r="N22" s="113"/>
    </row>
    <row r="23">
      <c r="A23" s="117" t="s">
        <v>1033</v>
      </c>
      <c r="B23" s="118">
        <v>20.0</v>
      </c>
      <c r="C23" s="22"/>
      <c r="N23" s="113"/>
    </row>
    <row r="24">
      <c r="A24" s="115"/>
      <c r="B24" s="116"/>
      <c r="C24" s="22"/>
      <c r="N24" s="113"/>
    </row>
    <row r="25">
      <c r="A25" s="117"/>
      <c r="B25" s="119"/>
      <c r="C25" s="22"/>
      <c r="N25" s="113"/>
    </row>
    <row r="26">
      <c r="A26" s="87"/>
      <c r="B26" s="102"/>
      <c r="C26" s="22"/>
      <c r="N26" s="113"/>
    </row>
    <row r="27">
      <c r="A27" s="87"/>
      <c r="B27" s="102"/>
      <c r="C27" s="22"/>
      <c r="N27" s="113"/>
    </row>
    <row r="28">
      <c r="A28" s="95"/>
      <c r="B28" s="120"/>
      <c r="C28" s="22"/>
      <c r="N28" s="113"/>
    </row>
    <row r="29">
      <c r="A29" s="115" t="s">
        <v>19</v>
      </c>
      <c r="B29" s="121">
        <f>SUM(B16:B28)</f>
        <v>441.64</v>
      </c>
      <c r="C29" s="22"/>
      <c r="N29" s="113"/>
    </row>
    <row r="30">
      <c r="A30" s="95"/>
      <c r="B30" s="95"/>
      <c r="C30" s="22"/>
      <c r="N30" s="113"/>
    </row>
    <row r="31">
      <c r="C31" s="22"/>
      <c r="N31" s="113"/>
    </row>
    <row r="32">
      <c r="C32" s="22"/>
      <c r="N32" s="113"/>
    </row>
    <row r="33">
      <c r="C33" s="22"/>
      <c r="N33" s="113"/>
    </row>
    <row r="34">
      <c r="C34" s="22"/>
      <c r="N34" s="113"/>
    </row>
    <row r="35">
      <c r="C35" s="22"/>
      <c r="N35" s="113"/>
    </row>
    <row r="36">
      <c r="C36" s="22"/>
      <c r="N36" s="113"/>
    </row>
    <row r="37">
      <c r="C37" s="22"/>
      <c r="N37" s="113"/>
    </row>
    <row r="38">
      <c r="C38" s="22"/>
      <c r="N38" s="113"/>
    </row>
    <row r="39">
      <c r="C39" s="22"/>
      <c r="N39" s="113"/>
    </row>
    <row r="40">
      <c r="C40" s="22"/>
      <c r="N40" s="113"/>
    </row>
    <row r="41">
      <c r="C41" s="22"/>
      <c r="N41" s="113"/>
    </row>
    <row r="42">
      <c r="C42" s="22"/>
      <c r="N42" s="113"/>
    </row>
    <row r="43">
      <c r="C43" s="22"/>
      <c r="N43" s="113"/>
    </row>
    <row r="44">
      <c r="C44" s="22"/>
      <c r="N44" s="113"/>
    </row>
    <row r="45">
      <c r="C45" s="22"/>
      <c r="N45" s="113"/>
    </row>
    <row r="46">
      <c r="C46" s="22"/>
      <c r="N46" s="113"/>
    </row>
    <row r="47">
      <c r="C47" s="22"/>
      <c r="N47" s="113"/>
    </row>
    <row r="48">
      <c r="C48" s="22"/>
      <c r="N48" s="113"/>
    </row>
    <row r="49">
      <c r="C49" s="22"/>
      <c r="N49" s="113"/>
    </row>
    <row r="50">
      <c r="C50" s="22"/>
      <c r="N50" s="113"/>
    </row>
    <row r="51">
      <c r="C51" s="22"/>
      <c r="N51" s="113"/>
    </row>
    <row r="52">
      <c r="C52" s="22"/>
      <c r="N52" s="113"/>
    </row>
    <row r="53">
      <c r="C53" s="22"/>
      <c r="N53" s="113"/>
    </row>
    <row r="54">
      <c r="C54" s="22"/>
      <c r="N54" s="113"/>
    </row>
    <row r="55">
      <c r="C55" s="22"/>
      <c r="N55" s="113"/>
    </row>
    <row r="56">
      <c r="C56" s="22"/>
      <c r="N56" s="113"/>
    </row>
    <row r="57">
      <c r="C57" s="22"/>
      <c r="N57" s="113"/>
    </row>
    <row r="58">
      <c r="C58" s="22"/>
      <c r="N58" s="113"/>
    </row>
    <row r="59">
      <c r="C59" s="22"/>
      <c r="N59" s="113"/>
    </row>
    <row r="60">
      <c r="C60" s="22"/>
      <c r="N60" s="113"/>
    </row>
    <row r="61">
      <c r="C61" s="22"/>
      <c r="N61" s="113"/>
    </row>
    <row r="62">
      <c r="C62" s="22"/>
      <c r="N62" s="113"/>
    </row>
    <row r="63">
      <c r="C63" s="22"/>
      <c r="N63" s="113"/>
    </row>
    <row r="64">
      <c r="C64" s="22"/>
      <c r="N64" s="113"/>
    </row>
    <row r="65">
      <c r="C65" s="22"/>
      <c r="N65" s="113"/>
    </row>
    <row r="66">
      <c r="C66" s="22"/>
      <c r="N66" s="113"/>
    </row>
    <row r="67">
      <c r="C67" s="22"/>
      <c r="N67" s="113"/>
    </row>
    <row r="68">
      <c r="C68" s="22"/>
      <c r="N68" s="113"/>
    </row>
    <row r="69">
      <c r="C69" s="22"/>
      <c r="N69" s="113"/>
    </row>
    <row r="70">
      <c r="C70" s="22"/>
      <c r="N70" s="113"/>
    </row>
    <row r="71">
      <c r="C71" s="22"/>
      <c r="N71" s="113"/>
    </row>
    <row r="72">
      <c r="C72" s="22"/>
      <c r="N72" s="113"/>
    </row>
    <row r="73">
      <c r="C73" s="22"/>
      <c r="N73" s="113"/>
    </row>
    <row r="74">
      <c r="C74" s="22"/>
      <c r="N74" s="113"/>
    </row>
    <row r="75">
      <c r="C75" s="22"/>
      <c r="N75" s="113"/>
    </row>
    <row r="76">
      <c r="C76" s="22"/>
      <c r="N76" s="113"/>
    </row>
    <row r="77">
      <c r="C77" s="22"/>
      <c r="N77" s="113"/>
    </row>
    <row r="78">
      <c r="C78" s="22"/>
      <c r="N78" s="113"/>
    </row>
    <row r="79">
      <c r="C79" s="22"/>
      <c r="N79" s="113"/>
    </row>
    <row r="80">
      <c r="C80" s="22"/>
      <c r="N80" s="113"/>
    </row>
    <row r="81">
      <c r="C81" s="22"/>
      <c r="N81" s="113"/>
    </row>
    <row r="82">
      <c r="C82" s="22"/>
      <c r="N82" s="113"/>
    </row>
    <row r="83">
      <c r="C83" s="22"/>
      <c r="N83" s="113"/>
    </row>
    <row r="84">
      <c r="C84" s="22"/>
      <c r="N84" s="113"/>
    </row>
    <row r="85">
      <c r="C85" s="22"/>
      <c r="N85" s="113"/>
    </row>
    <row r="86">
      <c r="C86" s="22"/>
      <c r="N86" s="113"/>
    </row>
    <row r="87">
      <c r="C87" s="22"/>
      <c r="N87" s="113"/>
    </row>
    <row r="88">
      <c r="C88" s="22"/>
      <c r="N88" s="113"/>
    </row>
    <row r="89">
      <c r="C89" s="22"/>
      <c r="N89" s="113"/>
    </row>
    <row r="90">
      <c r="C90" s="22"/>
      <c r="N90" s="113"/>
    </row>
    <row r="91">
      <c r="C91" s="22"/>
      <c r="N91" s="113"/>
    </row>
    <row r="92">
      <c r="C92" s="22"/>
      <c r="N92" s="113"/>
    </row>
    <row r="93">
      <c r="C93" s="22"/>
      <c r="N93" s="113"/>
    </row>
    <row r="94">
      <c r="C94" s="22"/>
      <c r="N94" s="113"/>
    </row>
    <row r="95">
      <c r="C95" s="22"/>
      <c r="N95" s="113"/>
    </row>
    <row r="96">
      <c r="C96" s="22"/>
      <c r="N96" s="113"/>
    </row>
    <row r="97">
      <c r="C97" s="22"/>
      <c r="N97" s="113"/>
    </row>
    <row r="98">
      <c r="C98" s="22"/>
      <c r="N98" s="113"/>
    </row>
    <row r="99">
      <c r="C99" s="22"/>
      <c r="N99" s="113"/>
    </row>
    <row r="100">
      <c r="C100" s="22"/>
      <c r="N100" s="113"/>
    </row>
    <row r="101">
      <c r="C101" s="22"/>
      <c r="N101" s="113"/>
    </row>
    <row r="102">
      <c r="C102" s="22"/>
      <c r="N102" s="113"/>
    </row>
    <row r="103">
      <c r="C103" s="22"/>
      <c r="N103" s="113"/>
    </row>
    <row r="104">
      <c r="C104" s="22"/>
      <c r="N104" s="113"/>
    </row>
    <row r="105">
      <c r="C105" s="22"/>
      <c r="N105" s="113"/>
    </row>
    <row r="106">
      <c r="C106" s="22"/>
      <c r="N106" s="113"/>
    </row>
    <row r="107">
      <c r="C107" s="22"/>
      <c r="N107" s="113"/>
    </row>
    <row r="108">
      <c r="C108" s="22"/>
      <c r="N108" s="113"/>
    </row>
    <row r="109">
      <c r="C109" s="22"/>
      <c r="N109" s="113"/>
    </row>
    <row r="110">
      <c r="C110" s="22"/>
      <c r="N110" s="113"/>
    </row>
    <row r="111">
      <c r="C111" s="22"/>
      <c r="N111" s="113"/>
    </row>
    <row r="112">
      <c r="C112" s="22"/>
      <c r="N112" s="113"/>
    </row>
    <row r="113">
      <c r="C113" s="22"/>
      <c r="N113" s="113"/>
    </row>
    <row r="114">
      <c r="C114" s="22"/>
      <c r="N114" s="113"/>
    </row>
    <row r="115">
      <c r="C115" s="22"/>
      <c r="N115" s="113"/>
    </row>
    <row r="116">
      <c r="C116" s="22"/>
      <c r="N116" s="113"/>
    </row>
    <row r="117">
      <c r="C117" s="22"/>
      <c r="N117" s="113"/>
    </row>
    <row r="118">
      <c r="C118" s="22"/>
      <c r="N118" s="113"/>
    </row>
    <row r="119">
      <c r="C119" s="22"/>
      <c r="N119" s="113"/>
    </row>
    <row r="120">
      <c r="C120" s="22"/>
      <c r="N120" s="113"/>
    </row>
    <row r="121">
      <c r="C121" s="22"/>
      <c r="N121" s="113"/>
    </row>
    <row r="122">
      <c r="C122" s="22"/>
      <c r="N122" s="113"/>
    </row>
    <row r="123">
      <c r="C123" s="22"/>
      <c r="N123" s="113"/>
    </row>
    <row r="124">
      <c r="C124" s="22"/>
      <c r="N124" s="113"/>
    </row>
    <row r="125">
      <c r="C125" s="22"/>
      <c r="N125" s="113"/>
    </row>
    <row r="126">
      <c r="C126" s="22"/>
      <c r="N126" s="113"/>
    </row>
    <row r="127">
      <c r="C127" s="22"/>
      <c r="N127" s="113"/>
    </row>
    <row r="128">
      <c r="C128" s="22"/>
      <c r="N128" s="113"/>
    </row>
    <row r="129">
      <c r="C129" s="22"/>
      <c r="N129" s="113"/>
    </row>
    <row r="130">
      <c r="C130" s="22"/>
      <c r="N130" s="113"/>
    </row>
    <row r="131">
      <c r="C131" s="22"/>
      <c r="N131" s="113"/>
    </row>
    <row r="132">
      <c r="C132" s="22"/>
      <c r="N132" s="113"/>
    </row>
    <row r="133">
      <c r="C133" s="22"/>
      <c r="N133" s="113"/>
    </row>
    <row r="134">
      <c r="C134" s="22"/>
      <c r="N134" s="113"/>
    </row>
    <row r="135">
      <c r="C135" s="22"/>
      <c r="N135" s="113"/>
    </row>
    <row r="136">
      <c r="C136" s="22"/>
      <c r="N136" s="113"/>
    </row>
    <row r="137">
      <c r="C137" s="22"/>
      <c r="N137" s="113"/>
    </row>
    <row r="138">
      <c r="C138" s="22"/>
      <c r="N138" s="113"/>
    </row>
    <row r="139">
      <c r="C139" s="22"/>
      <c r="N139" s="113"/>
    </row>
    <row r="140">
      <c r="C140" s="22"/>
      <c r="N140" s="113"/>
    </row>
    <row r="141">
      <c r="C141" s="22"/>
      <c r="N141" s="113"/>
    </row>
    <row r="142">
      <c r="C142" s="22"/>
      <c r="N142" s="113"/>
    </row>
    <row r="143">
      <c r="C143" s="22"/>
      <c r="N143" s="113"/>
    </row>
    <row r="144">
      <c r="C144" s="22"/>
      <c r="N144" s="113"/>
    </row>
    <row r="145">
      <c r="C145" s="22"/>
      <c r="N145" s="113"/>
    </row>
    <row r="146">
      <c r="C146" s="22"/>
      <c r="N146" s="113"/>
    </row>
    <row r="147">
      <c r="C147" s="22"/>
      <c r="N147" s="113"/>
    </row>
    <row r="148">
      <c r="C148" s="22"/>
      <c r="N148" s="113"/>
    </row>
    <row r="149">
      <c r="C149" s="22"/>
      <c r="N149" s="113"/>
    </row>
    <row r="150">
      <c r="C150" s="22"/>
      <c r="N150" s="113"/>
    </row>
    <row r="151">
      <c r="C151" s="22"/>
      <c r="N151" s="113"/>
    </row>
    <row r="152">
      <c r="C152" s="22"/>
      <c r="N152" s="113"/>
    </row>
    <row r="153">
      <c r="C153" s="22"/>
      <c r="N153" s="113"/>
    </row>
    <row r="154">
      <c r="C154" s="22"/>
      <c r="N154" s="113"/>
    </row>
    <row r="155">
      <c r="C155" s="22"/>
      <c r="N155" s="113"/>
    </row>
    <row r="156">
      <c r="C156" s="22"/>
      <c r="N156" s="113"/>
    </row>
    <row r="157">
      <c r="C157" s="22"/>
      <c r="N157" s="113"/>
    </row>
    <row r="158">
      <c r="C158" s="22"/>
      <c r="N158" s="113"/>
    </row>
    <row r="159">
      <c r="C159" s="22"/>
      <c r="N159" s="113"/>
    </row>
    <row r="160">
      <c r="C160" s="22"/>
      <c r="N160" s="113"/>
    </row>
    <row r="161">
      <c r="C161" s="22"/>
      <c r="N161" s="113"/>
    </row>
    <row r="162">
      <c r="C162" s="22"/>
      <c r="N162" s="113"/>
    </row>
    <row r="163">
      <c r="C163" s="22"/>
      <c r="N163" s="113"/>
    </row>
    <row r="164">
      <c r="C164" s="22"/>
      <c r="N164" s="113"/>
    </row>
    <row r="165">
      <c r="C165" s="22"/>
      <c r="N165" s="113"/>
    </row>
    <row r="166">
      <c r="C166" s="22"/>
      <c r="N166" s="113"/>
    </row>
    <row r="167">
      <c r="C167" s="22"/>
      <c r="N167" s="113"/>
    </row>
    <row r="168">
      <c r="C168" s="22"/>
      <c r="N168" s="113"/>
    </row>
    <row r="169">
      <c r="C169" s="22"/>
      <c r="N169" s="113"/>
    </row>
    <row r="170">
      <c r="C170" s="22"/>
      <c r="N170" s="113"/>
    </row>
    <row r="171">
      <c r="C171" s="22"/>
      <c r="N171" s="113"/>
    </row>
    <row r="172">
      <c r="C172" s="22"/>
      <c r="N172" s="113"/>
    </row>
    <row r="173">
      <c r="C173" s="22"/>
      <c r="N173" s="113"/>
    </row>
    <row r="174">
      <c r="C174" s="22"/>
      <c r="N174" s="113"/>
    </row>
    <row r="175">
      <c r="C175" s="22"/>
      <c r="N175" s="113"/>
    </row>
    <row r="176">
      <c r="C176" s="22"/>
      <c r="N176" s="113"/>
    </row>
    <row r="177">
      <c r="C177" s="22"/>
      <c r="N177" s="113"/>
    </row>
    <row r="178">
      <c r="C178" s="22"/>
      <c r="N178" s="113"/>
    </row>
    <row r="179">
      <c r="C179" s="22"/>
      <c r="N179" s="113"/>
    </row>
    <row r="180">
      <c r="C180" s="22"/>
      <c r="N180" s="113"/>
    </row>
    <row r="181">
      <c r="C181" s="22"/>
      <c r="N181" s="113"/>
    </row>
    <row r="182">
      <c r="C182" s="22"/>
      <c r="N182" s="113"/>
    </row>
    <row r="183">
      <c r="C183" s="22"/>
      <c r="N183" s="113"/>
    </row>
    <row r="184">
      <c r="C184" s="22"/>
      <c r="N184" s="113"/>
    </row>
    <row r="185">
      <c r="C185" s="22"/>
      <c r="N185" s="113"/>
    </row>
    <row r="186">
      <c r="C186" s="22"/>
      <c r="N186" s="113"/>
    </row>
    <row r="187">
      <c r="C187" s="22"/>
      <c r="N187" s="113"/>
    </row>
    <row r="188">
      <c r="C188" s="22"/>
      <c r="N188" s="113"/>
    </row>
    <row r="189">
      <c r="C189" s="22"/>
      <c r="N189" s="113"/>
    </row>
    <row r="190">
      <c r="C190" s="22"/>
      <c r="N190" s="113"/>
    </row>
    <row r="191">
      <c r="C191" s="22"/>
      <c r="N191" s="113"/>
    </row>
    <row r="192">
      <c r="C192" s="22"/>
      <c r="N192" s="113"/>
    </row>
    <row r="193">
      <c r="C193" s="22"/>
      <c r="N193" s="113"/>
    </row>
    <row r="194">
      <c r="C194" s="22"/>
      <c r="N194" s="113"/>
    </row>
    <row r="195">
      <c r="C195" s="22"/>
      <c r="N195" s="113"/>
    </row>
    <row r="196">
      <c r="C196" s="22"/>
      <c r="N196" s="113"/>
    </row>
    <row r="197">
      <c r="C197" s="22"/>
      <c r="N197" s="113"/>
    </row>
    <row r="198">
      <c r="C198" s="22"/>
      <c r="N198" s="113"/>
    </row>
    <row r="199">
      <c r="C199" s="22"/>
      <c r="N199" s="113"/>
    </row>
    <row r="200">
      <c r="C200" s="22"/>
      <c r="N200" s="113"/>
    </row>
    <row r="201">
      <c r="C201" s="22"/>
      <c r="N201" s="113"/>
    </row>
    <row r="202">
      <c r="C202" s="22"/>
      <c r="N202" s="113"/>
    </row>
    <row r="203">
      <c r="C203" s="22"/>
      <c r="N203" s="113"/>
    </row>
    <row r="204">
      <c r="C204" s="22"/>
      <c r="N204" s="113"/>
    </row>
    <row r="205">
      <c r="C205" s="22"/>
      <c r="N205" s="113"/>
    </row>
    <row r="206">
      <c r="C206" s="22"/>
      <c r="N206" s="113"/>
    </row>
    <row r="207">
      <c r="C207" s="22"/>
      <c r="N207" s="113"/>
    </row>
    <row r="208">
      <c r="C208" s="22"/>
      <c r="N208" s="113"/>
    </row>
    <row r="209">
      <c r="C209" s="22"/>
      <c r="N209" s="113"/>
    </row>
    <row r="210">
      <c r="C210" s="22"/>
      <c r="N210" s="113"/>
    </row>
    <row r="211">
      <c r="C211" s="22"/>
      <c r="N211" s="113"/>
    </row>
    <row r="212">
      <c r="C212" s="22"/>
      <c r="N212" s="113"/>
    </row>
    <row r="213">
      <c r="C213" s="22"/>
      <c r="N213" s="113"/>
    </row>
    <row r="214">
      <c r="C214" s="22"/>
      <c r="N214" s="113"/>
    </row>
    <row r="215">
      <c r="C215" s="22"/>
      <c r="N215" s="113"/>
    </row>
    <row r="216">
      <c r="C216" s="22"/>
      <c r="N216" s="113"/>
    </row>
    <row r="217">
      <c r="C217" s="22"/>
      <c r="N217" s="113"/>
    </row>
    <row r="218">
      <c r="C218" s="22"/>
      <c r="N218" s="113"/>
    </row>
    <row r="219">
      <c r="C219" s="22"/>
      <c r="N219" s="113"/>
    </row>
    <row r="220">
      <c r="C220" s="22"/>
      <c r="N220" s="113"/>
    </row>
    <row r="221">
      <c r="C221" s="22"/>
      <c r="N221" s="113"/>
    </row>
    <row r="222">
      <c r="C222" s="22"/>
      <c r="N222" s="113"/>
    </row>
    <row r="223">
      <c r="C223" s="22"/>
      <c r="N223" s="113"/>
    </row>
    <row r="224">
      <c r="C224" s="22"/>
      <c r="N224" s="113"/>
    </row>
    <row r="225">
      <c r="C225" s="22"/>
      <c r="N225" s="113"/>
    </row>
    <row r="226">
      <c r="C226" s="22"/>
      <c r="N226" s="113"/>
    </row>
    <row r="227">
      <c r="C227" s="22"/>
      <c r="N227" s="113"/>
    </row>
    <row r="228">
      <c r="C228" s="22"/>
      <c r="N228" s="113"/>
    </row>
    <row r="229">
      <c r="C229" s="22"/>
      <c r="N229" s="113"/>
    </row>
    <row r="230">
      <c r="C230" s="22"/>
      <c r="N230" s="113"/>
    </row>
    <row r="231">
      <c r="C231" s="22"/>
      <c r="N231" s="113"/>
    </row>
    <row r="232">
      <c r="C232" s="22"/>
      <c r="N232" s="113"/>
    </row>
    <row r="233">
      <c r="C233" s="22"/>
      <c r="N233" s="113"/>
    </row>
    <row r="234">
      <c r="C234" s="22"/>
      <c r="N234" s="113"/>
    </row>
    <row r="235">
      <c r="C235" s="22"/>
      <c r="N235" s="113"/>
    </row>
    <row r="236">
      <c r="C236" s="22"/>
      <c r="N236" s="113"/>
    </row>
    <row r="237">
      <c r="C237" s="22"/>
      <c r="N237" s="113"/>
    </row>
    <row r="238">
      <c r="C238" s="22"/>
      <c r="N238" s="113"/>
    </row>
    <row r="239">
      <c r="C239" s="22"/>
      <c r="N239" s="113"/>
    </row>
    <row r="240">
      <c r="C240" s="22"/>
      <c r="N240" s="113"/>
    </row>
    <row r="241">
      <c r="C241" s="22"/>
      <c r="N241" s="113"/>
    </row>
    <row r="242">
      <c r="C242" s="22"/>
      <c r="N242" s="113"/>
    </row>
    <row r="243">
      <c r="C243" s="22"/>
      <c r="N243" s="113"/>
    </row>
    <row r="244">
      <c r="C244" s="22"/>
      <c r="N244" s="113"/>
    </row>
    <row r="245">
      <c r="C245" s="22"/>
      <c r="N245" s="113"/>
    </row>
    <row r="246">
      <c r="C246" s="22"/>
      <c r="N246" s="113"/>
    </row>
    <row r="247">
      <c r="C247" s="22"/>
      <c r="N247" s="113"/>
    </row>
    <row r="248">
      <c r="C248" s="22"/>
      <c r="N248" s="113"/>
    </row>
    <row r="249">
      <c r="C249" s="22"/>
      <c r="N249" s="113"/>
    </row>
    <row r="250">
      <c r="C250" s="22"/>
      <c r="N250" s="113"/>
    </row>
    <row r="251">
      <c r="C251" s="22"/>
      <c r="N251" s="113"/>
    </row>
    <row r="252">
      <c r="C252" s="22"/>
      <c r="N252" s="113"/>
    </row>
    <row r="253">
      <c r="C253" s="22"/>
      <c r="N253" s="113"/>
    </row>
    <row r="254">
      <c r="C254" s="22"/>
      <c r="N254" s="113"/>
    </row>
    <row r="255">
      <c r="C255" s="22"/>
      <c r="N255" s="113"/>
    </row>
    <row r="256">
      <c r="C256" s="22"/>
      <c r="N256" s="113"/>
    </row>
    <row r="257">
      <c r="C257" s="22"/>
      <c r="N257" s="113"/>
    </row>
    <row r="258">
      <c r="C258" s="22"/>
      <c r="N258" s="113"/>
    </row>
    <row r="259">
      <c r="C259" s="22"/>
      <c r="N259" s="113"/>
    </row>
    <row r="260">
      <c r="C260" s="22"/>
      <c r="N260" s="113"/>
    </row>
    <row r="261">
      <c r="C261" s="22"/>
      <c r="N261" s="113"/>
    </row>
    <row r="262">
      <c r="C262" s="22"/>
      <c r="N262" s="113"/>
    </row>
    <row r="263">
      <c r="C263" s="22"/>
      <c r="N263" s="113"/>
    </row>
    <row r="264">
      <c r="C264" s="22"/>
      <c r="N264" s="113"/>
    </row>
    <row r="265">
      <c r="C265" s="22"/>
      <c r="N265" s="113"/>
    </row>
    <row r="266">
      <c r="C266" s="22"/>
      <c r="N266" s="113"/>
    </row>
    <row r="267">
      <c r="C267" s="22"/>
      <c r="N267" s="113"/>
    </row>
    <row r="268">
      <c r="C268" s="22"/>
      <c r="N268" s="113"/>
    </row>
    <row r="269">
      <c r="C269" s="22"/>
      <c r="N269" s="113"/>
    </row>
    <row r="270">
      <c r="C270" s="22"/>
      <c r="N270" s="113"/>
    </row>
    <row r="271">
      <c r="C271" s="22"/>
      <c r="N271" s="113"/>
    </row>
    <row r="272">
      <c r="C272" s="22"/>
      <c r="N272" s="113"/>
    </row>
    <row r="273">
      <c r="C273" s="22"/>
      <c r="N273" s="113"/>
    </row>
    <row r="274">
      <c r="C274" s="22"/>
      <c r="N274" s="113"/>
    </row>
    <row r="275">
      <c r="C275" s="22"/>
      <c r="N275" s="113"/>
    </row>
    <row r="276">
      <c r="C276" s="22"/>
      <c r="N276" s="113"/>
    </row>
    <row r="277">
      <c r="C277" s="22"/>
      <c r="N277" s="113"/>
    </row>
    <row r="278">
      <c r="C278" s="22"/>
      <c r="N278" s="113"/>
    </row>
    <row r="279">
      <c r="C279" s="22"/>
      <c r="N279" s="113"/>
    </row>
    <row r="280">
      <c r="C280" s="22"/>
      <c r="N280" s="113"/>
    </row>
    <row r="281">
      <c r="C281" s="22"/>
      <c r="N281" s="113"/>
    </row>
    <row r="282">
      <c r="C282" s="22"/>
      <c r="N282" s="113"/>
    </row>
    <row r="283">
      <c r="C283" s="22"/>
      <c r="N283" s="113"/>
    </row>
    <row r="284">
      <c r="C284" s="22"/>
      <c r="N284" s="113"/>
    </row>
    <row r="285">
      <c r="C285" s="22"/>
      <c r="N285" s="113"/>
    </row>
    <row r="286">
      <c r="C286" s="22"/>
      <c r="N286" s="113"/>
    </row>
    <row r="287">
      <c r="C287" s="22"/>
      <c r="N287" s="113"/>
    </row>
    <row r="288">
      <c r="C288" s="22"/>
      <c r="N288" s="113"/>
    </row>
    <row r="289">
      <c r="C289" s="22"/>
      <c r="N289" s="113"/>
    </row>
    <row r="290">
      <c r="C290" s="22"/>
      <c r="N290" s="113"/>
    </row>
    <row r="291">
      <c r="C291" s="22"/>
      <c r="N291" s="113"/>
    </row>
    <row r="292">
      <c r="C292" s="22"/>
      <c r="N292" s="113"/>
    </row>
    <row r="293">
      <c r="C293" s="22"/>
      <c r="N293" s="113"/>
    </row>
    <row r="294">
      <c r="C294" s="22"/>
      <c r="N294" s="113"/>
    </row>
    <row r="295">
      <c r="C295" s="22"/>
      <c r="N295" s="113"/>
    </row>
    <row r="296">
      <c r="C296" s="22"/>
      <c r="N296" s="113"/>
    </row>
    <row r="297">
      <c r="C297" s="22"/>
      <c r="N297" s="113"/>
    </row>
    <row r="298">
      <c r="C298" s="22"/>
      <c r="N298" s="113"/>
    </row>
    <row r="299">
      <c r="C299" s="22"/>
      <c r="N299" s="113"/>
    </row>
    <row r="300">
      <c r="C300" s="22"/>
      <c r="N300" s="113"/>
    </row>
    <row r="301">
      <c r="C301" s="22"/>
      <c r="N301" s="113"/>
    </row>
    <row r="302">
      <c r="C302" s="22"/>
      <c r="N302" s="113"/>
    </row>
    <row r="303">
      <c r="C303" s="22"/>
      <c r="N303" s="113"/>
    </row>
    <row r="304">
      <c r="C304" s="22"/>
      <c r="N304" s="113"/>
    </row>
    <row r="305">
      <c r="C305" s="22"/>
      <c r="N305" s="113"/>
    </row>
    <row r="306">
      <c r="C306" s="22"/>
      <c r="N306" s="113"/>
    </row>
    <row r="307">
      <c r="C307" s="22"/>
      <c r="N307" s="113"/>
    </row>
    <row r="308">
      <c r="C308" s="22"/>
      <c r="N308" s="113"/>
    </row>
    <row r="309">
      <c r="C309" s="22"/>
      <c r="N309" s="113"/>
    </row>
    <row r="310">
      <c r="C310" s="22"/>
      <c r="N310" s="113"/>
    </row>
    <row r="311">
      <c r="C311" s="22"/>
      <c r="N311" s="113"/>
    </row>
    <row r="312">
      <c r="C312" s="22"/>
      <c r="N312" s="113"/>
    </row>
    <row r="313">
      <c r="C313" s="22"/>
      <c r="N313" s="113"/>
    </row>
    <row r="314">
      <c r="C314" s="22"/>
      <c r="N314" s="113"/>
    </row>
    <row r="315">
      <c r="C315" s="22"/>
      <c r="N315" s="113"/>
    </row>
    <row r="316">
      <c r="C316" s="22"/>
      <c r="N316" s="113"/>
    </row>
    <row r="317">
      <c r="C317" s="22"/>
      <c r="N317" s="113"/>
    </row>
    <row r="318">
      <c r="C318" s="22"/>
      <c r="N318" s="113"/>
    </row>
    <row r="319">
      <c r="C319" s="22"/>
      <c r="N319" s="113"/>
    </row>
    <row r="320">
      <c r="C320" s="22"/>
      <c r="N320" s="113"/>
    </row>
    <row r="321">
      <c r="C321" s="22"/>
      <c r="N321" s="113"/>
    </row>
    <row r="322">
      <c r="C322" s="22"/>
      <c r="N322" s="113"/>
    </row>
    <row r="323">
      <c r="C323" s="22"/>
      <c r="N323" s="113"/>
    </row>
    <row r="324">
      <c r="C324" s="22"/>
      <c r="N324" s="113"/>
    </row>
    <row r="325">
      <c r="C325" s="22"/>
      <c r="N325" s="113"/>
    </row>
    <row r="326">
      <c r="C326" s="22"/>
      <c r="N326" s="113"/>
    </row>
    <row r="327">
      <c r="C327" s="22"/>
      <c r="N327" s="113"/>
    </row>
    <row r="328">
      <c r="C328" s="22"/>
      <c r="N328" s="113"/>
    </row>
    <row r="329">
      <c r="C329" s="22"/>
      <c r="N329" s="113"/>
    </row>
    <row r="330">
      <c r="C330" s="22"/>
      <c r="N330" s="113"/>
    </row>
    <row r="331">
      <c r="C331" s="22"/>
      <c r="N331" s="113"/>
    </row>
    <row r="332">
      <c r="C332" s="22"/>
      <c r="N332" s="113"/>
    </row>
    <row r="333">
      <c r="C333" s="22"/>
      <c r="N333" s="113"/>
    </row>
    <row r="334">
      <c r="C334" s="22"/>
      <c r="N334" s="113"/>
    </row>
    <row r="335">
      <c r="C335" s="22"/>
      <c r="N335" s="113"/>
    </row>
    <row r="336">
      <c r="C336" s="22"/>
      <c r="N336" s="113"/>
    </row>
    <row r="337">
      <c r="C337" s="22"/>
      <c r="N337" s="113"/>
    </row>
    <row r="338">
      <c r="C338" s="22"/>
      <c r="N338" s="113"/>
    </row>
    <row r="339">
      <c r="C339" s="22"/>
      <c r="N339" s="113"/>
    </row>
    <row r="340">
      <c r="C340" s="22"/>
      <c r="N340" s="113"/>
    </row>
    <row r="341">
      <c r="C341" s="22"/>
      <c r="N341" s="113"/>
    </row>
    <row r="342">
      <c r="C342" s="22"/>
      <c r="N342" s="113"/>
    </row>
    <row r="343">
      <c r="C343" s="22"/>
      <c r="N343" s="113"/>
    </row>
    <row r="344">
      <c r="C344" s="22"/>
      <c r="N344" s="113"/>
    </row>
    <row r="345">
      <c r="C345" s="22"/>
      <c r="N345" s="113"/>
    </row>
    <row r="346">
      <c r="C346" s="22"/>
      <c r="N346" s="113"/>
    </row>
    <row r="347">
      <c r="C347" s="22"/>
      <c r="N347" s="113"/>
    </row>
    <row r="348">
      <c r="C348" s="22"/>
      <c r="N348" s="113"/>
    </row>
    <row r="349">
      <c r="C349" s="22"/>
      <c r="N349" s="113"/>
    </row>
    <row r="350">
      <c r="C350" s="22"/>
      <c r="N350" s="113"/>
    </row>
    <row r="351">
      <c r="C351" s="22"/>
      <c r="N351" s="113"/>
    </row>
    <row r="352">
      <c r="C352" s="22"/>
      <c r="N352" s="113"/>
    </row>
    <row r="353">
      <c r="C353" s="22"/>
      <c r="N353" s="113"/>
    </row>
    <row r="354">
      <c r="C354" s="22"/>
      <c r="N354" s="113"/>
    </row>
    <row r="355">
      <c r="C355" s="22"/>
      <c r="N355" s="113"/>
    </row>
    <row r="356">
      <c r="C356" s="22"/>
      <c r="N356" s="113"/>
    </row>
    <row r="357">
      <c r="C357" s="22"/>
      <c r="N357" s="113"/>
    </row>
    <row r="358">
      <c r="C358" s="22"/>
      <c r="N358" s="113"/>
    </row>
    <row r="359">
      <c r="C359" s="22"/>
      <c r="N359" s="113"/>
    </row>
    <row r="360">
      <c r="C360" s="22"/>
      <c r="N360" s="113"/>
    </row>
    <row r="361">
      <c r="C361" s="22"/>
      <c r="N361" s="113"/>
    </row>
    <row r="362">
      <c r="C362" s="22"/>
      <c r="N362" s="113"/>
    </row>
    <row r="363">
      <c r="C363" s="22"/>
      <c r="N363" s="113"/>
    </row>
    <row r="364">
      <c r="C364" s="22"/>
      <c r="N364" s="113"/>
    </row>
    <row r="365">
      <c r="C365" s="22"/>
      <c r="N365" s="113"/>
    </row>
    <row r="366">
      <c r="C366" s="22"/>
      <c r="N366" s="113"/>
    </row>
    <row r="367">
      <c r="C367" s="22"/>
      <c r="N367" s="113"/>
    </row>
    <row r="368">
      <c r="C368" s="22"/>
      <c r="N368" s="113"/>
    </row>
    <row r="369">
      <c r="C369" s="22"/>
      <c r="N369" s="113"/>
    </row>
    <row r="370">
      <c r="C370" s="22"/>
      <c r="N370" s="113"/>
    </row>
    <row r="371">
      <c r="C371" s="22"/>
      <c r="N371" s="113"/>
    </row>
    <row r="372">
      <c r="C372" s="22"/>
      <c r="N372" s="113"/>
    </row>
    <row r="373">
      <c r="C373" s="22"/>
      <c r="N373" s="113"/>
    </row>
    <row r="374">
      <c r="C374" s="22"/>
      <c r="N374" s="113"/>
    </row>
    <row r="375">
      <c r="C375" s="22"/>
      <c r="N375" s="113"/>
    </row>
    <row r="376">
      <c r="C376" s="22"/>
      <c r="N376" s="113"/>
    </row>
    <row r="377">
      <c r="C377" s="22"/>
      <c r="N377" s="113"/>
    </row>
    <row r="378">
      <c r="C378" s="22"/>
      <c r="N378" s="113"/>
    </row>
    <row r="379">
      <c r="C379" s="22"/>
      <c r="N379" s="113"/>
    </row>
    <row r="380">
      <c r="C380" s="22"/>
      <c r="N380" s="113"/>
    </row>
    <row r="381">
      <c r="C381" s="22"/>
      <c r="N381" s="113"/>
    </row>
    <row r="382">
      <c r="C382" s="22"/>
      <c r="N382" s="113"/>
    </row>
    <row r="383">
      <c r="C383" s="22"/>
      <c r="N383" s="113"/>
    </row>
    <row r="384">
      <c r="C384" s="22"/>
      <c r="N384" s="113"/>
    </row>
    <row r="385">
      <c r="C385" s="22"/>
      <c r="N385" s="113"/>
    </row>
    <row r="386">
      <c r="C386" s="22"/>
      <c r="N386" s="113"/>
    </row>
    <row r="387">
      <c r="C387" s="22"/>
      <c r="N387" s="113"/>
    </row>
    <row r="388">
      <c r="C388" s="22"/>
      <c r="N388" s="113"/>
    </row>
    <row r="389">
      <c r="C389" s="22"/>
      <c r="N389" s="113"/>
    </row>
    <row r="390">
      <c r="C390" s="22"/>
      <c r="N390" s="113"/>
    </row>
    <row r="391">
      <c r="C391" s="22"/>
      <c r="N391" s="113"/>
    </row>
    <row r="392">
      <c r="C392" s="22"/>
      <c r="N392" s="113"/>
    </row>
    <row r="393">
      <c r="C393" s="22"/>
      <c r="N393" s="113"/>
    </row>
    <row r="394">
      <c r="C394" s="22"/>
      <c r="N394" s="113"/>
    </row>
    <row r="395">
      <c r="C395" s="22"/>
      <c r="N395" s="113"/>
    </row>
    <row r="396">
      <c r="C396" s="22"/>
      <c r="N396" s="113"/>
    </row>
    <row r="397">
      <c r="C397" s="22"/>
      <c r="N397" s="113"/>
    </row>
    <row r="398">
      <c r="C398" s="22"/>
      <c r="N398" s="113"/>
    </row>
    <row r="399">
      <c r="C399" s="22"/>
      <c r="N399" s="113"/>
    </row>
    <row r="400">
      <c r="C400" s="22"/>
      <c r="N400" s="113"/>
    </row>
    <row r="401">
      <c r="C401" s="22"/>
      <c r="N401" s="113"/>
    </row>
    <row r="402">
      <c r="C402" s="22"/>
      <c r="N402" s="113"/>
    </row>
    <row r="403">
      <c r="C403" s="22"/>
      <c r="N403" s="113"/>
    </row>
    <row r="404">
      <c r="C404" s="22"/>
      <c r="N404" s="113"/>
    </row>
    <row r="405">
      <c r="C405" s="22"/>
      <c r="N405" s="113"/>
    </row>
    <row r="406">
      <c r="C406" s="22"/>
      <c r="N406" s="113"/>
    </row>
    <row r="407">
      <c r="C407" s="22"/>
      <c r="N407" s="113"/>
    </row>
    <row r="408">
      <c r="C408" s="22"/>
      <c r="N408" s="113"/>
    </row>
    <row r="409">
      <c r="C409" s="22"/>
      <c r="N409" s="113"/>
    </row>
    <row r="410">
      <c r="C410" s="22"/>
      <c r="N410" s="113"/>
    </row>
    <row r="411">
      <c r="C411" s="22"/>
      <c r="N411" s="113"/>
    </row>
    <row r="412">
      <c r="C412" s="22"/>
      <c r="N412" s="113"/>
    </row>
    <row r="413">
      <c r="C413" s="22"/>
      <c r="N413" s="113"/>
    </row>
    <row r="414">
      <c r="C414" s="22"/>
      <c r="N414" s="113"/>
    </row>
    <row r="415">
      <c r="C415" s="22"/>
      <c r="N415" s="113"/>
    </row>
    <row r="416">
      <c r="C416" s="22"/>
      <c r="N416" s="113"/>
    </row>
    <row r="417">
      <c r="C417" s="22"/>
      <c r="N417" s="113"/>
    </row>
    <row r="418">
      <c r="C418" s="22"/>
      <c r="N418" s="113"/>
    </row>
    <row r="419">
      <c r="C419" s="22"/>
      <c r="N419" s="113"/>
    </row>
    <row r="420">
      <c r="C420" s="22"/>
      <c r="N420" s="113"/>
    </row>
    <row r="421">
      <c r="C421" s="22"/>
      <c r="N421" s="113"/>
    </row>
    <row r="422">
      <c r="C422" s="22"/>
      <c r="N422" s="113"/>
    </row>
    <row r="423">
      <c r="C423" s="22"/>
      <c r="N423" s="113"/>
    </row>
    <row r="424">
      <c r="C424" s="22"/>
      <c r="N424" s="113"/>
    </row>
    <row r="425">
      <c r="C425" s="22"/>
      <c r="N425" s="113"/>
    </row>
    <row r="426">
      <c r="C426" s="22"/>
      <c r="N426" s="113"/>
    </row>
    <row r="427">
      <c r="C427" s="22"/>
      <c r="N427" s="113"/>
    </row>
    <row r="428">
      <c r="C428" s="22"/>
      <c r="N428" s="113"/>
    </row>
    <row r="429">
      <c r="C429" s="22"/>
      <c r="N429" s="113"/>
    </row>
    <row r="430">
      <c r="C430" s="22"/>
      <c r="N430" s="113"/>
    </row>
    <row r="431">
      <c r="C431" s="22"/>
      <c r="N431" s="113"/>
    </row>
    <row r="432">
      <c r="C432" s="22"/>
      <c r="N432" s="113"/>
    </row>
    <row r="433">
      <c r="C433" s="22"/>
      <c r="N433" s="113"/>
    </row>
    <row r="434">
      <c r="C434" s="22"/>
      <c r="N434" s="113"/>
    </row>
    <row r="435">
      <c r="C435" s="22"/>
      <c r="N435" s="113"/>
    </row>
    <row r="436">
      <c r="C436" s="22"/>
      <c r="N436" s="113"/>
    </row>
    <row r="437">
      <c r="C437" s="22"/>
      <c r="N437" s="113"/>
    </row>
    <row r="438">
      <c r="C438" s="22"/>
      <c r="N438" s="113"/>
    </row>
    <row r="439">
      <c r="C439" s="22"/>
      <c r="N439" s="113"/>
    </row>
    <row r="440">
      <c r="C440" s="22"/>
      <c r="N440" s="113"/>
    </row>
    <row r="441">
      <c r="C441" s="22"/>
      <c r="N441" s="113"/>
    </row>
    <row r="442">
      <c r="C442" s="22"/>
      <c r="N442" s="113"/>
    </row>
    <row r="443">
      <c r="C443" s="22"/>
      <c r="N443" s="113"/>
    </row>
    <row r="444">
      <c r="C444" s="22"/>
      <c r="N444" s="113"/>
    </row>
    <row r="445">
      <c r="C445" s="22"/>
      <c r="N445" s="113"/>
    </row>
    <row r="446">
      <c r="C446" s="22"/>
      <c r="N446" s="113"/>
    </row>
    <row r="447">
      <c r="C447" s="22"/>
      <c r="N447" s="113"/>
    </row>
    <row r="448">
      <c r="C448" s="22"/>
      <c r="N448" s="113"/>
    </row>
    <row r="449">
      <c r="C449" s="22"/>
      <c r="N449" s="113"/>
    </row>
    <row r="450">
      <c r="C450" s="22"/>
      <c r="N450" s="113"/>
    </row>
    <row r="451">
      <c r="C451" s="22"/>
      <c r="N451" s="113"/>
    </row>
    <row r="452">
      <c r="C452" s="22"/>
      <c r="N452" s="113"/>
    </row>
    <row r="453">
      <c r="C453" s="22"/>
      <c r="N453" s="113"/>
    </row>
    <row r="454">
      <c r="C454" s="22"/>
      <c r="N454" s="113"/>
    </row>
    <row r="455">
      <c r="C455" s="22"/>
      <c r="N455" s="113"/>
    </row>
    <row r="456">
      <c r="C456" s="22"/>
      <c r="N456" s="113"/>
    </row>
    <row r="457">
      <c r="C457" s="22"/>
      <c r="N457" s="113"/>
    </row>
    <row r="458">
      <c r="C458" s="22"/>
      <c r="N458" s="113"/>
    </row>
    <row r="459">
      <c r="C459" s="22"/>
      <c r="N459" s="113"/>
    </row>
    <row r="460">
      <c r="C460" s="22"/>
      <c r="N460" s="113"/>
    </row>
    <row r="461">
      <c r="C461" s="22"/>
      <c r="N461" s="113"/>
    </row>
    <row r="462">
      <c r="C462" s="22"/>
      <c r="N462" s="113"/>
    </row>
    <row r="463">
      <c r="C463" s="22"/>
      <c r="N463" s="113"/>
    </row>
    <row r="464">
      <c r="C464" s="22"/>
      <c r="N464" s="113"/>
    </row>
    <row r="465">
      <c r="C465" s="22"/>
      <c r="N465" s="113"/>
    </row>
    <row r="466">
      <c r="C466" s="22"/>
      <c r="N466" s="113"/>
    </row>
    <row r="467">
      <c r="C467" s="22"/>
      <c r="N467" s="113"/>
    </row>
    <row r="468">
      <c r="C468" s="22"/>
      <c r="N468" s="113"/>
    </row>
    <row r="469">
      <c r="C469" s="22"/>
      <c r="N469" s="113"/>
    </row>
    <row r="470">
      <c r="C470" s="22"/>
      <c r="N470" s="113"/>
    </row>
    <row r="471">
      <c r="C471" s="22"/>
      <c r="N471" s="113"/>
    </row>
    <row r="472">
      <c r="C472" s="22"/>
      <c r="N472" s="113"/>
    </row>
    <row r="473">
      <c r="C473" s="22"/>
      <c r="N473" s="113"/>
    </row>
    <row r="474">
      <c r="C474" s="22"/>
      <c r="N474" s="113"/>
    </row>
    <row r="475">
      <c r="C475" s="22"/>
      <c r="N475" s="113"/>
    </row>
    <row r="476">
      <c r="C476" s="22"/>
      <c r="N476" s="113"/>
    </row>
    <row r="477">
      <c r="C477" s="22"/>
      <c r="N477" s="113"/>
    </row>
    <row r="478">
      <c r="C478" s="22"/>
      <c r="N478" s="113"/>
    </row>
    <row r="479">
      <c r="C479" s="22"/>
      <c r="N479" s="113"/>
    </row>
    <row r="480">
      <c r="C480" s="22"/>
      <c r="N480" s="113"/>
    </row>
    <row r="481">
      <c r="C481" s="22"/>
      <c r="N481" s="113"/>
    </row>
    <row r="482">
      <c r="C482" s="22"/>
      <c r="N482" s="113"/>
    </row>
    <row r="483">
      <c r="C483" s="22"/>
      <c r="N483" s="113"/>
    </row>
    <row r="484">
      <c r="C484" s="22"/>
      <c r="N484" s="113"/>
    </row>
    <row r="485">
      <c r="C485" s="22"/>
      <c r="N485" s="113"/>
    </row>
    <row r="486">
      <c r="C486" s="22"/>
      <c r="N486" s="113"/>
    </row>
    <row r="487">
      <c r="C487" s="22"/>
      <c r="N487" s="113"/>
    </row>
    <row r="488">
      <c r="C488" s="22"/>
      <c r="N488" s="113"/>
    </row>
    <row r="489">
      <c r="C489" s="22"/>
      <c r="N489" s="113"/>
    </row>
    <row r="490">
      <c r="C490" s="22"/>
      <c r="N490" s="113"/>
    </row>
    <row r="491">
      <c r="C491" s="22"/>
      <c r="N491" s="113"/>
    </row>
    <row r="492">
      <c r="C492" s="22"/>
      <c r="N492" s="113"/>
    </row>
    <row r="493">
      <c r="C493" s="22"/>
      <c r="N493" s="113"/>
    </row>
    <row r="494">
      <c r="C494" s="22"/>
      <c r="N494" s="113"/>
    </row>
    <row r="495">
      <c r="C495" s="22"/>
      <c r="N495" s="113"/>
    </row>
    <row r="496">
      <c r="C496" s="22"/>
      <c r="N496" s="113"/>
    </row>
    <row r="497">
      <c r="C497" s="22"/>
      <c r="N497" s="113"/>
    </row>
    <row r="498">
      <c r="C498" s="22"/>
      <c r="N498" s="113"/>
    </row>
    <row r="499">
      <c r="C499" s="22"/>
      <c r="N499" s="113"/>
    </row>
    <row r="500">
      <c r="C500" s="22"/>
      <c r="N500" s="113"/>
    </row>
    <row r="501">
      <c r="C501" s="22"/>
      <c r="N501" s="113"/>
    </row>
    <row r="502">
      <c r="C502" s="22"/>
      <c r="N502" s="113"/>
    </row>
    <row r="503">
      <c r="C503" s="22"/>
      <c r="N503" s="113"/>
    </row>
    <row r="504">
      <c r="C504" s="22"/>
      <c r="N504" s="113"/>
    </row>
    <row r="505">
      <c r="C505" s="22"/>
      <c r="N505" s="113"/>
    </row>
    <row r="506">
      <c r="C506" s="22"/>
      <c r="N506" s="113"/>
    </row>
    <row r="507">
      <c r="C507" s="22"/>
      <c r="N507" s="113"/>
    </row>
    <row r="508">
      <c r="C508" s="22"/>
      <c r="N508" s="113"/>
    </row>
    <row r="509">
      <c r="C509" s="22"/>
      <c r="N509" s="113"/>
    </row>
    <row r="510">
      <c r="C510" s="22"/>
      <c r="N510" s="113"/>
    </row>
    <row r="511">
      <c r="C511" s="22"/>
      <c r="N511" s="113"/>
    </row>
    <row r="512">
      <c r="C512" s="22"/>
      <c r="N512" s="113"/>
    </row>
    <row r="513">
      <c r="C513" s="22"/>
      <c r="N513" s="113"/>
    </row>
    <row r="514">
      <c r="C514" s="22"/>
      <c r="N514" s="113"/>
    </row>
    <row r="515">
      <c r="C515" s="22"/>
      <c r="N515" s="113"/>
    </row>
    <row r="516">
      <c r="C516" s="22"/>
      <c r="N516" s="113"/>
    </row>
    <row r="517">
      <c r="C517" s="22"/>
      <c r="N517" s="113"/>
    </row>
    <row r="518">
      <c r="C518" s="22"/>
      <c r="N518" s="113"/>
    </row>
    <row r="519">
      <c r="C519" s="22"/>
      <c r="N519" s="113"/>
    </row>
    <row r="520">
      <c r="C520" s="22"/>
      <c r="N520" s="113"/>
    </row>
    <row r="521">
      <c r="C521" s="22"/>
      <c r="N521" s="113"/>
    </row>
    <row r="522">
      <c r="C522" s="22"/>
      <c r="N522" s="113"/>
    </row>
    <row r="523">
      <c r="C523" s="22"/>
      <c r="N523" s="113"/>
    </row>
    <row r="524">
      <c r="C524" s="22"/>
      <c r="N524" s="113"/>
    </row>
    <row r="525">
      <c r="C525" s="22"/>
      <c r="N525" s="113"/>
    </row>
    <row r="526">
      <c r="C526" s="22"/>
      <c r="N526" s="113"/>
    </row>
    <row r="527">
      <c r="C527" s="22"/>
      <c r="N527" s="113"/>
    </row>
    <row r="528">
      <c r="C528" s="22"/>
      <c r="N528" s="113"/>
    </row>
    <row r="529">
      <c r="C529" s="22"/>
      <c r="N529" s="113"/>
    </row>
    <row r="530">
      <c r="C530" s="22"/>
      <c r="N530" s="113"/>
    </row>
    <row r="531">
      <c r="C531" s="22"/>
      <c r="N531" s="113"/>
    </row>
    <row r="532">
      <c r="C532" s="22"/>
      <c r="N532" s="113"/>
    </row>
    <row r="533">
      <c r="C533" s="22"/>
      <c r="N533" s="113"/>
    </row>
    <row r="534">
      <c r="C534" s="22"/>
      <c r="N534" s="113"/>
    </row>
    <row r="535">
      <c r="C535" s="22"/>
      <c r="N535" s="113"/>
    </row>
    <row r="536">
      <c r="C536" s="22"/>
      <c r="N536" s="113"/>
    </row>
    <row r="537">
      <c r="C537" s="22"/>
      <c r="N537" s="113"/>
    </row>
    <row r="538">
      <c r="C538" s="22"/>
      <c r="N538" s="113"/>
    </row>
    <row r="539">
      <c r="C539" s="22"/>
      <c r="N539" s="113"/>
    </row>
    <row r="540">
      <c r="C540" s="22"/>
      <c r="N540" s="113"/>
    </row>
    <row r="541">
      <c r="C541" s="22"/>
      <c r="N541" s="113"/>
    </row>
    <row r="542">
      <c r="C542" s="22"/>
      <c r="N542" s="113"/>
    </row>
    <row r="543">
      <c r="C543" s="22"/>
      <c r="N543" s="113"/>
    </row>
    <row r="544">
      <c r="C544" s="22"/>
      <c r="N544" s="113"/>
    </row>
    <row r="545">
      <c r="C545" s="22"/>
      <c r="N545" s="113"/>
    </row>
    <row r="546">
      <c r="C546" s="22"/>
      <c r="N546" s="113"/>
    </row>
    <row r="547">
      <c r="C547" s="22"/>
      <c r="N547" s="113"/>
    </row>
    <row r="548">
      <c r="C548" s="22"/>
      <c r="N548" s="113"/>
    </row>
    <row r="549">
      <c r="C549" s="22"/>
      <c r="N549" s="113"/>
    </row>
    <row r="550">
      <c r="C550" s="22"/>
      <c r="N550" s="113"/>
    </row>
    <row r="551">
      <c r="C551" s="22"/>
      <c r="N551" s="113"/>
    </row>
    <row r="552">
      <c r="C552" s="22"/>
      <c r="N552" s="113"/>
    </row>
    <row r="553">
      <c r="C553" s="22"/>
      <c r="N553" s="113"/>
    </row>
    <row r="554">
      <c r="C554" s="22"/>
      <c r="N554" s="113"/>
    </row>
    <row r="555">
      <c r="C555" s="22"/>
      <c r="N555" s="113"/>
    </row>
    <row r="556">
      <c r="C556" s="22"/>
      <c r="N556" s="113"/>
    </row>
    <row r="557">
      <c r="C557" s="22"/>
      <c r="N557" s="113"/>
    </row>
    <row r="558">
      <c r="C558" s="22"/>
      <c r="N558" s="113"/>
    </row>
    <row r="559">
      <c r="C559" s="22"/>
      <c r="N559" s="113"/>
    </row>
    <row r="560">
      <c r="C560" s="22"/>
      <c r="N560" s="113"/>
    </row>
    <row r="561">
      <c r="C561" s="22"/>
      <c r="N561" s="113"/>
    </row>
    <row r="562">
      <c r="C562" s="22"/>
      <c r="N562" s="113"/>
    </row>
    <row r="563">
      <c r="C563" s="22"/>
      <c r="N563" s="113"/>
    </row>
    <row r="564">
      <c r="C564" s="22"/>
      <c r="N564" s="113"/>
    </row>
    <row r="565">
      <c r="C565" s="22"/>
      <c r="N565" s="113"/>
    </row>
    <row r="566">
      <c r="C566" s="22"/>
      <c r="N566" s="113"/>
    </row>
    <row r="567">
      <c r="C567" s="22"/>
      <c r="N567" s="113"/>
    </row>
    <row r="568">
      <c r="C568" s="22"/>
      <c r="N568" s="113"/>
    </row>
    <row r="569">
      <c r="C569" s="22"/>
      <c r="N569" s="113"/>
    </row>
    <row r="570">
      <c r="C570" s="22"/>
      <c r="N570" s="113"/>
    </row>
    <row r="571">
      <c r="C571" s="22"/>
      <c r="N571" s="113"/>
    </row>
    <row r="572">
      <c r="C572" s="22"/>
      <c r="N572" s="113"/>
    </row>
    <row r="573">
      <c r="C573" s="22"/>
      <c r="N573" s="113"/>
    </row>
    <row r="574">
      <c r="C574" s="22"/>
      <c r="N574" s="113"/>
    </row>
    <row r="575">
      <c r="C575" s="22"/>
      <c r="N575" s="113"/>
    </row>
    <row r="576">
      <c r="C576" s="22"/>
      <c r="N576" s="113"/>
    </row>
    <row r="577">
      <c r="C577" s="22"/>
      <c r="N577" s="113"/>
    </row>
    <row r="578">
      <c r="C578" s="22"/>
      <c r="N578" s="113"/>
    </row>
    <row r="579">
      <c r="C579" s="22"/>
      <c r="N579" s="113"/>
    </row>
    <row r="580">
      <c r="C580" s="22"/>
      <c r="N580" s="113"/>
    </row>
    <row r="581">
      <c r="C581" s="22"/>
      <c r="N581" s="113"/>
    </row>
    <row r="582">
      <c r="C582" s="22"/>
      <c r="N582" s="113"/>
    </row>
    <row r="583">
      <c r="C583" s="22"/>
      <c r="N583" s="113"/>
    </row>
    <row r="584">
      <c r="C584" s="22"/>
      <c r="N584" s="113"/>
    </row>
    <row r="585">
      <c r="C585" s="22"/>
      <c r="N585" s="113"/>
    </row>
    <row r="586">
      <c r="C586" s="22"/>
      <c r="N586" s="113"/>
    </row>
    <row r="587">
      <c r="C587" s="22"/>
      <c r="N587" s="113"/>
    </row>
    <row r="588">
      <c r="C588" s="22"/>
      <c r="N588" s="113"/>
    </row>
    <row r="589">
      <c r="C589" s="22"/>
      <c r="N589" s="113"/>
    </row>
    <row r="590">
      <c r="C590" s="22"/>
      <c r="N590" s="113"/>
    </row>
    <row r="591">
      <c r="C591" s="22"/>
      <c r="N591" s="113"/>
    </row>
    <row r="592">
      <c r="C592" s="22"/>
      <c r="N592" s="113"/>
    </row>
    <row r="593">
      <c r="C593" s="22"/>
      <c r="N593" s="113"/>
    </row>
    <row r="594">
      <c r="C594" s="22"/>
      <c r="N594" s="113"/>
    </row>
    <row r="595">
      <c r="C595" s="22"/>
      <c r="N595" s="113"/>
    </row>
    <row r="596">
      <c r="C596" s="22"/>
      <c r="N596" s="113"/>
    </row>
    <row r="597">
      <c r="C597" s="22"/>
      <c r="N597" s="113"/>
    </row>
    <row r="598">
      <c r="C598" s="22"/>
      <c r="N598" s="113"/>
    </row>
    <row r="599">
      <c r="C599" s="22"/>
      <c r="N599" s="113"/>
    </row>
    <row r="600">
      <c r="C600" s="22"/>
      <c r="N600" s="113"/>
    </row>
    <row r="601">
      <c r="C601" s="22"/>
      <c r="N601" s="113"/>
    </row>
    <row r="602">
      <c r="C602" s="22"/>
      <c r="N602" s="113"/>
    </row>
    <row r="603">
      <c r="C603" s="22"/>
      <c r="N603" s="113"/>
    </row>
    <row r="604">
      <c r="C604" s="22"/>
      <c r="N604" s="113"/>
    </row>
    <row r="605">
      <c r="C605" s="22"/>
      <c r="N605" s="113"/>
    </row>
    <row r="606">
      <c r="C606" s="22"/>
      <c r="N606" s="113"/>
    </row>
    <row r="607">
      <c r="C607" s="22"/>
      <c r="N607" s="113"/>
    </row>
    <row r="608">
      <c r="C608" s="22"/>
      <c r="N608" s="113"/>
    </row>
    <row r="609">
      <c r="C609" s="22"/>
      <c r="N609" s="113"/>
    </row>
    <row r="610">
      <c r="C610" s="22"/>
      <c r="N610" s="113"/>
    </row>
    <row r="611">
      <c r="C611" s="22"/>
      <c r="N611" s="113"/>
    </row>
    <row r="612">
      <c r="C612" s="22"/>
      <c r="N612" s="113"/>
    </row>
    <row r="613">
      <c r="C613" s="22"/>
      <c r="N613" s="113"/>
    </row>
    <row r="614">
      <c r="C614" s="22"/>
      <c r="N614" s="113"/>
    </row>
    <row r="615">
      <c r="C615" s="22"/>
      <c r="N615" s="113"/>
    </row>
    <row r="616">
      <c r="C616" s="22"/>
      <c r="N616" s="113"/>
    </row>
    <row r="617">
      <c r="C617" s="22"/>
      <c r="N617" s="113"/>
    </row>
    <row r="618">
      <c r="C618" s="22"/>
      <c r="N618" s="113"/>
    </row>
    <row r="619">
      <c r="C619" s="22"/>
      <c r="N619" s="113"/>
    </row>
    <row r="620">
      <c r="C620" s="22"/>
      <c r="N620" s="113"/>
    </row>
    <row r="621">
      <c r="C621" s="22"/>
      <c r="N621" s="113"/>
    </row>
    <row r="622">
      <c r="C622" s="22"/>
      <c r="N622" s="113"/>
    </row>
    <row r="623">
      <c r="C623" s="22"/>
      <c r="N623" s="113"/>
    </row>
    <row r="624">
      <c r="C624" s="22"/>
      <c r="N624" s="113"/>
    </row>
    <row r="625">
      <c r="C625" s="22"/>
      <c r="N625" s="113"/>
    </row>
    <row r="626">
      <c r="C626" s="22"/>
      <c r="N626" s="113"/>
    </row>
    <row r="627">
      <c r="C627" s="22"/>
      <c r="N627" s="113"/>
    </row>
    <row r="628">
      <c r="C628" s="22"/>
      <c r="N628" s="113"/>
    </row>
    <row r="629">
      <c r="C629" s="22"/>
      <c r="N629" s="113"/>
    </row>
    <row r="630">
      <c r="C630" s="22"/>
      <c r="N630" s="113"/>
    </row>
    <row r="631">
      <c r="C631" s="22"/>
      <c r="N631" s="113"/>
    </row>
    <row r="632">
      <c r="C632" s="22"/>
      <c r="N632" s="113"/>
    </row>
    <row r="633">
      <c r="C633" s="22"/>
      <c r="N633" s="113"/>
    </row>
    <row r="634">
      <c r="C634" s="22"/>
      <c r="N634" s="113"/>
    </row>
    <row r="635">
      <c r="C635" s="22"/>
      <c r="N635" s="113"/>
    </row>
    <row r="636">
      <c r="C636" s="22"/>
      <c r="N636" s="113"/>
    </row>
    <row r="637">
      <c r="C637" s="22"/>
      <c r="N637" s="113"/>
    </row>
    <row r="638">
      <c r="C638" s="22"/>
      <c r="N638" s="113"/>
    </row>
    <row r="639">
      <c r="C639" s="22"/>
      <c r="N639" s="113"/>
    </row>
    <row r="640">
      <c r="C640" s="22"/>
      <c r="N640" s="113"/>
    </row>
    <row r="641">
      <c r="C641" s="22"/>
      <c r="N641" s="113"/>
    </row>
    <row r="642">
      <c r="C642" s="22"/>
      <c r="N642" s="113"/>
    </row>
    <row r="643">
      <c r="C643" s="22"/>
      <c r="N643" s="113"/>
    </row>
    <row r="644">
      <c r="C644" s="22"/>
      <c r="N644" s="113"/>
    </row>
    <row r="645">
      <c r="C645" s="22"/>
      <c r="N645" s="113"/>
    </row>
    <row r="646">
      <c r="C646" s="22"/>
      <c r="N646" s="113"/>
    </row>
    <row r="647">
      <c r="C647" s="22"/>
      <c r="N647" s="113"/>
    </row>
    <row r="648">
      <c r="C648" s="22"/>
      <c r="N648" s="113"/>
    </row>
    <row r="649">
      <c r="C649" s="22"/>
      <c r="N649" s="113"/>
    </row>
    <row r="650">
      <c r="C650" s="22"/>
      <c r="N650" s="113"/>
    </row>
    <row r="651">
      <c r="C651" s="22"/>
      <c r="N651" s="113"/>
    </row>
    <row r="652">
      <c r="C652" s="22"/>
      <c r="N652" s="113"/>
    </row>
    <row r="653">
      <c r="C653" s="22"/>
      <c r="N653" s="113"/>
    </row>
    <row r="654">
      <c r="C654" s="22"/>
      <c r="N654" s="113"/>
    </row>
    <row r="655">
      <c r="C655" s="22"/>
      <c r="N655" s="113"/>
    </row>
    <row r="656">
      <c r="C656" s="22"/>
      <c r="N656" s="113"/>
    </row>
    <row r="657">
      <c r="C657" s="22"/>
      <c r="N657" s="113"/>
    </row>
    <row r="658">
      <c r="C658" s="22"/>
      <c r="N658" s="113"/>
    </row>
    <row r="659">
      <c r="C659" s="22"/>
      <c r="N659" s="113"/>
    </row>
    <row r="660">
      <c r="C660" s="22"/>
      <c r="N660" s="113"/>
    </row>
    <row r="661">
      <c r="C661" s="22"/>
      <c r="N661" s="113"/>
    </row>
    <row r="662">
      <c r="C662" s="22"/>
      <c r="N662" s="113"/>
    </row>
    <row r="663">
      <c r="C663" s="22"/>
      <c r="N663" s="113"/>
    </row>
    <row r="664">
      <c r="C664" s="22"/>
      <c r="N664" s="113"/>
    </row>
    <row r="665">
      <c r="C665" s="22"/>
      <c r="N665" s="113"/>
    </row>
    <row r="666">
      <c r="C666" s="22"/>
      <c r="N666" s="113"/>
    </row>
    <row r="667">
      <c r="C667" s="22"/>
      <c r="N667" s="113"/>
    </row>
    <row r="668">
      <c r="C668" s="22"/>
      <c r="N668" s="113"/>
    </row>
    <row r="669">
      <c r="C669" s="22"/>
      <c r="N669" s="113"/>
    </row>
    <row r="670">
      <c r="C670" s="22"/>
      <c r="N670" s="113"/>
    </row>
    <row r="671">
      <c r="C671" s="22"/>
      <c r="N671" s="113"/>
    </row>
    <row r="672">
      <c r="C672" s="22"/>
      <c r="N672" s="113"/>
    </row>
    <row r="673">
      <c r="C673" s="22"/>
      <c r="N673" s="113"/>
    </row>
    <row r="674">
      <c r="C674" s="22"/>
      <c r="N674" s="113"/>
    </row>
    <row r="675">
      <c r="C675" s="22"/>
      <c r="N675" s="113"/>
    </row>
    <row r="676">
      <c r="C676" s="22"/>
      <c r="N676" s="113"/>
    </row>
    <row r="677">
      <c r="C677" s="22"/>
      <c r="N677" s="113"/>
    </row>
    <row r="678">
      <c r="C678" s="22"/>
      <c r="N678" s="113"/>
    </row>
    <row r="679">
      <c r="C679" s="22"/>
      <c r="N679" s="113"/>
    </row>
    <row r="680">
      <c r="C680" s="22"/>
      <c r="N680" s="113"/>
    </row>
    <row r="681">
      <c r="C681" s="22"/>
      <c r="N681" s="113"/>
    </row>
    <row r="682">
      <c r="C682" s="22"/>
      <c r="N682" s="113"/>
    </row>
    <row r="683">
      <c r="C683" s="22"/>
      <c r="N683" s="113"/>
    </row>
    <row r="684">
      <c r="C684" s="22"/>
      <c r="N684" s="113"/>
    </row>
    <row r="685">
      <c r="C685" s="22"/>
      <c r="N685" s="113"/>
    </row>
    <row r="686">
      <c r="C686" s="22"/>
      <c r="N686" s="113"/>
    </row>
    <row r="687">
      <c r="C687" s="22"/>
      <c r="N687" s="113"/>
    </row>
    <row r="688">
      <c r="C688" s="22"/>
      <c r="N688" s="113"/>
    </row>
    <row r="689">
      <c r="C689" s="22"/>
      <c r="N689" s="113"/>
    </row>
    <row r="690">
      <c r="C690" s="22"/>
      <c r="N690" s="113"/>
    </row>
    <row r="691">
      <c r="C691" s="22"/>
      <c r="N691" s="113"/>
    </row>
    <row r="692">
      <c r="C692" s="22"/>
      <c r="N692" s="113"/>
    </row>
    <row r="693">
      <c r="C693" s="22"/>
      <c r="N693" s="113"/>
    </row>
    <row r="694">
      <c r="C694" s="22"/>
      <c r="N694" s="113"/>
    </row>
    <row r="695">
      <c r="C695" s="22"/>
      <c r="N695" s="113"/>
    </row>
    <row r="696">
      <c r="C696" s="22"/>
      <c r="N696" s="113"/>
    </row>
    <row r="697">
      <c r="C697" s="22"/>
      <c r="N697" s="113"/>
    </row>
    <row r="698">
      <c r="C698" s="22"/>
      <c r="N698" s="113"/>
    </row>
    <row r="699">
      <c r="C699" s="22"/>
      <c r="N699" s="113"/>
    </row>
    <row r="700">
      <c r="C700" s="22"/>
      <c r="N700" s="113"/>
    </row>
    <row r="701">
      <c r="C701" s="22"/>
      <c r="N701" s="113"/>
    </row>
    <row r="702">
      <c r="C702" s="22"/>
      <c r="N702" s="113"/>
    </row>
    <row r="703">
      <c r="C703" s="22"/>
      <c r="N703" s="113"/>
    </row>
    <row r="704">
      <c r="C704" s="22"/>
      <c r="N704" s="113"/>
    </row>
    <row r="705">
      <c r="C705" s="22"/>
      <c r="N705" s="113"/>
    </row>
    <row r="706">
      <c r="C706" s="22"/>
      <c r="N706" s="113"/>
    </row>
    <row r="707">
      <c r="C707" s="22"/>
      <c r="N707" s="113"/>
    </row>
    <row r="708">
      <c r="C708" s="22"/>
      <c r="N708" s="113"/>
    </row>
    <row r="709">
      <c r="C709" s="22"/>
      <c r="N709" s="113"/>
    </row>
    <row r="710">
      <c r="C710" s="22"/>
      <c r="N710" s="113"/>
    </row>
    <row r="711">
      <c r="C711" s="22"/>
      <c r="N711" s="113"/>
    </row>
    <row r="712">
      <c r="C712" s="22"/>
      <c r="N712" s="113"/>
    </row>
    <row r="713">
      <c r="C713" s="22"/>
      <c r="N713" s="113"/>
    </row>
    <row r="714">
      <c r="C714" s="22"/>
      <c r="N714" s="113"/>
    </row>
    <row r="715">
      <c r="C715" s="22"/>
      <c r="N715" s="113"/>
    </row>
    <row r="716">
      <c r="C716" s="22"/>
      <c r="N716" s="113"/>
    </row>
    <row r="717">
      <c r="C717" s="22"/>
      <c r="N717" s="113"/>
    </row>
    <row r="718">
      <c r="C718" s="22"/>
      <c r="N718" s="113"/>
    </row>
    <row r="719">
      <c r="C719" s="22"/>
      <c r="N719" s="113"/>
    </row>
    <row r="720">
      <c r="C720" s="22"/>
      <c r="N720" s="113"/>
    </row>
    <row r="721">
      <c r="C721" s="22"/>
      <c r="N721" s="113"/>
    </row>
    <row r="722">
      <c r="C722" s="22"/>
      <c r="N722" s="113"/>
    </row>
    <row r="723">
      <c r="C723" s="22"/>
      <c r="N723" s="113"/>
    </row>
    <row r="724">
      <c r="C724" s="22"/>
      <c r="N724" s="113"/>
    </row>
    <row r="725">
      <c r="C725" s="22"/>
      <c r="N725" s="113"/>
    </row>
    <row r="726">
      <c r="C726" s="22"/>
      <c r="N726" s="113"/>
    </row>
    <row r="727">
      <c r="C727" s="22"/>
      <c r="N727" s="113"/>
    </row>
    <row r="728">
      <c r="C728" s="22"/>
      <c r="N728" s="113"/>
    </row>
    <row r="729">
      <c r="C729" s="22"/>
      <c r="N729" s="113"/>
    </row>
    <row r="730">
      <c r="C730" s="22"/>
      <c r="N730" s="113"/>
    </row>
    <row r="731">
      <c r="C731" s="22"/>
      <c r="N731" s="113"/>
    </row>
    <row r="732">
      <c r="C732" s="22"/>
      <c r="N732" s="113"/>
    </row>
    <row r="733">
      <c r="C733" s="22"/>
      <c r="N733" s="113"/>
    </row>
    <row r="734">
      <c r="C734" s="22"/>
      <c r="N734" s="113"/>
    </row>
    <row r="735">
      <c r="C735" s="22"/>
      <c r="N735" s="113"/>
    </row>
    <row r="736">
      <c r="C736" s="22"/>
      <c r="N736" s="113"/>
    </row>
    <row r="737">
      <c r="C737" s="22"/>
      <c r="N737" s="113"/>
    </row>
    <row r="738">
      <c r="C738" s="22"/>
      <c r="N738" s="113"/>
    </row>
    <row r="739">
      <c r="C739" s="22"/>
      <c r="N739" s="113"/>
    </row>
    <row r="740">
      <c r="C740" s="22"/>
      <c r="N740" s="113"/>
    </row>
    <row r="741">
      <c r="C741" s="22"/>
      <c r="N741" s="113"/>
    </row>
    <row r="742">
      <c r="C742" s="22"/>
      <c r="N742" s="113"/>
    </row>
    <row r="743">
      <c r="C743" s="22"/>
      <c r="N743" s="113"/>
    </row>
    <row r="744">
      <c r="C744" s="22"/>
      <c r="N744" s="113"/>
    </row>
    <row r="745">
      <c r="C745" s="22"/>
      <c r="N745" s="113"/>
    </row>
    <row r="746">
      <c r="C746" s="22"/>
      <c r="N746" s="113"/>
    </row>
    <row r="747">
      <c r="C747" s="22"/>
      <c r="N747" s="113"/>
    </row>
    <row r="748">
      <c r="C748" s="22"/>
      <c r="N748" s="113"/>
    </row>
    <row r="749">
      <c r="C749" s="22"/>
      <c r="N749" s="113"/>
    </row>
    <row r="750">
      <c r="C750" s="22"/>
      <c r="N750" s="113"/>
    </row>
    <row r="751">
      <c r="C751" s="22"/>
      <c r="N751" s="113"/>
    </row>
    <row r="752">
      <c r="C752" s="22"/>
      <c r="N752" s="113"/>
    </row>
    <row r="753">
      <c r="C753" s="22"/>
      <c r="N753" s="113"/>
    </row>
    <row r="754">
      <c r="C754" s="22"/>
      <c r="N754" s="113"/>
    </row>
    <row r="755">
      <c r="C755" s="22"/>
      <c r="N755" s="113"/>
    </row>
    <row r="756">
      <c r="C756" s="22"/>
      <c r="N756" s="113"/>
    </row>
    <row r="757">
      <c r="C757" s="22"/>
      <c r="N757" s="113"/>
    </row>
    <row r="758">
      <c r="C758" s="22"/>
      <c r="N758" s="113"/>
    </row>
    <row r="759">
      <c r="C759" s="22"/>
      <c r="N759" s="113"/>
    </row>
    <row r="760">
      <c r="C760" s="22"/>
      <c r="N760" s="113"/>
    </row>
    <row r="761">
      <c r="C761" s="22"/>
      <c r="N761" s="113"/>
    </row>
    <row r="762">
      <c r="C762" s="22"/>
      <c r="N762" s="113"/>
    </row>
    <row r="763">
      <c r="C763" s="22"/>
      <c r="N763" s="113"/>
    </row>
    <row r="764">
      <c r="C764" s="22"/>
      <c r="N764" s="113"/>
    </row>
    <row r="765">
      <c r="C765" s="22"/>
      <c r="N765" s="113"/>
    </row>
    <row r="766">
      <c r="C766" s="22"/>
      <c r="N766" s="113"/>
    </row>
    <row r="767">
      <c r="C767" s="22"/>
      <c r="N767" s="113"/>
    </row>
    <row r="768">
      <c r="C768" s="22"/>
      <c r="N768" s="113"/>
    </row>
    <row r="769">
      <c r="C769" s="22"/>
      <c r="N769" s="113"/>
    </row>
    <row r="770">
      <c r="C770" s="22"/>
      <c r="N770" s="113"/>
    </row>
    <row r="771">
      <c r="C771" s="22"/>
      <c r="N771" s="113"/>
    </row>
    <row r="772">
      <c r="C772" s="22"/>
      <c r="N772" s="113"/>
    </row>
    <row r="773">
      <c r="C773" s="22"/>
      <c r="N773" s="113"/>
    </row>
    <row r="774">
      <c r="C774" s="22"/>
      <c r="N774" s="113"/>
    </row>
    <row r="775">
      <c r="C775" s="22"/>
      <c r="N775" s="113"/>
    </row>
    <row r="776">
      <c r="C776" s="22"/>
      <c r="N776" s="113"/>
    </row>
    <row r="777">
      <c r="C777" s="22"/>
      <c r="N777" s="113"/>
    </row>
    <row r="778">
      <c r="C778" s="22"/>
      <c r="N778" s="113"/>
    </row>
    <row r="779">
      <c r="C779" s="22"/>
      <c r="N779" s="113"/>
    </row>
    <row r="780">
      <c r="C780" s="22"/>
      <c r="N780" s="113"/>
    </row>
    <row r="781">
      <c r="C781" s="22"/>
      <c r="N781" s="113"/>
    </row>
    <row r="782">
      <c r="C782" s="22"/>
      <c r="N782" s="113"/>
    </row>
    <row r="783">
      <c r="C783" s="22"/>
      <c r="N783" s="113"/>
    </row>
    <row r="784">
      <c r="C784" s="22"/>
      <c r="N784" s="113"/>
    </row>
    <row r="785">
      <c r="C785" s="22"/>
      <c r="N785" s="113"/>
    </row>
    <row r="786">
      <c r="C786" s="22"/>
      <c r="N786" s="113"/>
    </row>
    <row r="787">
      <c r="C787" s="22"/>
      <c r="N787" s="113"/>
    </row>
    <row r="788">
      <c r="C788" s="22"/>
      <c r="N788" s="113"/>
    </row>
    <row r="789">
      <c r="C789" s="22"/>
      <c r="N789" s="113"/>
    </row>
    <row r="790">
      <c r="C790" s="22"/>
      <c r="N790" s="113"/>
    </row>
    <row r="791">
      <c r="C791" s="22"/>
      <c r="N791" s="113"/>
    </row>
    <row r="792">
      <c r="C792" s="22"/>
      <c r="N792" s="113"/>
    </row>
    <row r="793">
      <c r="C793" s="22"/>
      <c r="N793" s="113"/>
    </row>
    <row r="794">
      <c r="C794" s="22"/>
      <c r="N794" s="113"/>
    </row>
    <row r="795">
      <c r="C795" s="22"/>
      <c r="N795" s="113"/>
    </row>
    <row r="796">
      <c r="C796" s="22"/>
      <c r="N796" s="113"/>
    </row>
    <row r="797">
      <c r="C797" s="22"/>
      <c r="N797" s="113"/>
    </row>
    <row r="798">
      <c r="C798" s="22"/>
      <c r="N798" s="113"/>
    </row>
    <row r="799">
      <c r="C799" s="22"/>
      <c r="N799" s="113"/>
    </row>
    <row r="800">
      <c r="C800" s="22"/>
      <c r="N800" s="113"/>
    </row>
    <row r="801">
      <c r="C801" s="22"/>
      <c r="N801" s="113"/>
    </row>
    <row r="802">
      <c r="C802" s="22"/>
      <c r="N802" s="113"/>
    </row>
    <row r="803">
      <c r="C803" s="22"/>
      <c r="N803" s="113"/>
    </row>
    <row r="804">
      <c r="C804" s="22"/>
      <c r="N804" s="113"/>
    </row>
    <row r="805">
      <c r="C805" s="22"/>
      <c r="N805" s="113"/>
    </row>
    <row r="806">
      <c r="C806" s="22"/>
      <c r="N806" s="113"/>
    </row>
    <row r="807">
      <c r="C807" s="22"/>
      <c r="N807" s="113"/>
    </row>
    <row r="808">
      <c r="C808" s="22"/>
      <c r="N808" s="113"/>
    </row>
    <row r="809">
      <c r="C809" s="22"/>
      <c r="N809" s="113"/>
    </row>
    <row r="810">
      <c r="C810" s="22"/>
      <c r="N810" s="113"/>
    </row>
    <row r="811">
      <c r="C811" s="22"/>
      <c r="N811" s="113"/>
    </row>
    <row r="812">
      <c r="C812" s="22"/>
      <c r="N812" s="113"/>
    </row>
    <row r="813">
      <c r="C813" s="22"/>
      <c r="N813" s="113"/>
    </row>
    <row r="814">
      <c r="C814" s="22"/>
      <c r="N814" s="113"/>
    </row>
    <row r="815">
      <c r="C815" s="22"/>
      <c r="N815" s="113"/>
    </row>
    <row r="816">
      <c r="C816" s="22"/>
      <c r="N816" s="113"/>
    </row>
    <row r="817">
      <c r="C817" s="22"/>
      <c r="N817" s="113"/>
    </row>
    <row r="818">
      <c r="C818" s="22"/>
      <c r="N818" s="113"/>
    </row>
    <row r="819">
      <c r="C819" s="22"/>
      <c r="N819" s="113"/>
    </row>
    <row r="820">
      <c r="C820" s="22"/>
      <c r="N820" s="113"/>
    </row>
    <row r="821">
      <c r="C821" s="22"/>
      <c r="N821" s="113"/>
    </row>
    <row r="822">
      <c r="C822" s="22"/>
      <c r="N822" s="113"/>
    </row>
    <row r="823">
      <c r="C823" s="22"/>
      <c r="N823" s="113"/>
    </row>
    <row r="824">
      <c r="C824" s="22"/>
      <c r="N824" s="113"/>
    </row>
    <row r="825">
      <c r="C825" s="22"/>
      <c r="N825" s="113"/>
    </row>
    <row r="826">
      <c r="C826" s="22"/>
      <c r="N826" s="113"/>
    </row>
    <row r="827">
      <c r="C827" s="22"/>
      <c r="N827" s="113"/>
    </row>
    <row r="828">
      <c r="C828" s="22"/>
      <c r="N828" s="113"/>
    </row>
    <row r="829">
      <c r="C829" s="22"/>
      <c r="N829" s="113"/>
    </row>
    <row r="830">
      <c r="C830" s="22"/>
      <c r="N830" s="113"/>
    </row>
    <row r="831">
      <c r="C831" s="22"/>
      <c r="N831" s="113"/>
    </row>
    <row r="832">
      <c r="C832" s="22"/>
      <c r="N832" s="113"/>
    </row>
    <row r="833">
      <c r="C833" s="22"/>
      <c r="N833" s="113"/>
    </row>
    <row r="834">
      <c r="C834" s="22"/>
      <c r="N834" s="113"/>
    </row>
    <row r="835">
      <c r="C835" s="22"/>
      <c r="N835" s="113"/>
    </row>
    <row r="836">
      <c r="C836" s="22"/>
      <c r="N836" s="113"/>
    </row>
    <row r="837">
      <c r="C837" s="22"/>
      <c r="N837" s="113"/>
    </row>
    <row r="838">
      <c r="C838" s="22"/>
      <c r="N838" s="113"/>
    </row>
    <row r="839">
      <c r="C839" s="22"/>
      <c r="N839" s="113"/>
    </row>
    <row r="840">
      <c r="C840" s="22"/>
      <c r="N840" s="113"/>
    </row>
    <row r="841">
      <c r="C841" s="22"/>
      <c r="N841" s="113"/>
    </row>
    <row r="842">
      <c r="C842" s="22"/>
      <c r="N842" s="113"/>
    </row>
    <row r="843">
      <c r="C843" s="22"/>
      <c r="N843" s="113"/>
    </row>
    <row r="844">
      <c r="C844" s="22"/>
      <c r="N844" s="113"/>
    </row>
    <row r="845">
      <c r="C845" s="22"/>
      <c r="N845" s="113"/>
    </row>
    <row r="846">
      <c r="C846" s="22"/>
      <c r="N846" s="113"/>
    </row>
    <row r="847">
      <c r="C847" s="22"/>
      <c r="N847" s="113"/>
    </row>
    <row r="848">
      <c r="C848" s="22"/>
      <c r="N848" s="113"/>
    </row>
    <row r="849">
      <c r="C849" s="22"/>
      <c r="N849" s="113"/>
    </row>
    <row r="850">
      <c r="C850" s="22"/>
      <c r="N850" s="113"/>
    </row>
    <row r="851">
      <c r="C851" s="22"/>
      <c r="N851" s="113"/>
    </row>
    <row r="852">
      <c r="C852" s="22"/>
      <c r="N852" s="113"/>
    </row>
    <row r="853">
      <c r="C853" s="22"/>
      <c r="N853" s="113"/>
    </row>
    <row r="854">
      <c r="C854" s="22"/>
      <c r="N854" s="113"/>
    </row>
    <row r="855">
      <c r="C855" s="22"/>
      <c r="N855" s="113"/>
    </row>
    <row r="856">
      <c r="C856" s="22"/>
      <c r="N856" s="113"/>
    </row>
    <row r="857">
      <c r="C857" s="22"/>
      <c r="N857" s="113"/>
    </row>
    <row r="858">
      <c r="C858" s="22"/>
      <c r="N858" s="113"/>
    </row>
    <row r="859">
      <c r="C859" s="22"/>
      <c r="N859" s="113"/>
    </row>
    <row r="860">
      <c r="C860" s="22"/>
      <c r="N860" s="113"/>
    </row>
    <row r="861">
      <c r="C861" s="22"/>
      <c r="N861" s="113"/>
    </row>
    <row r="862">
      <c r="C862" s="22"/>
      <c r="N862" s="113"/>
    </row>
    <row r="863">
      <c r="C863" s="22"/>
      <c r="N863" s="113"/>
    </row>
    <row r="864">
      <c r="C864" s="22"/>
      <c r="N864" s="113"/>
    </row>
    <row r="865">
      <c r="C865" s="22"/>
      <c r="N865" s="113"/>
    </row>
    <row r="866">
      <c r="C866" s="22"/>
      <c r="N866" s="113"/>
    </row>
    <row r="867">
      <c r="C867" s="22"/>
      <c r="N867" s="113"/>
    </row>
    <row r="868">
      <c r="C868" s="22"/>
      <c r="N868" s="113"/>
    </row>
    <row r="869">
      <c r="C869" s="22"/>
      <c r="N869" s="113"/>
    </row>
    <row r="870">
      <c r="C870" s="22"/>
      <c r="N870" s="113"/>
    </row>
    <row r="871">
      <c r="C871" s="22"/>
      <c r="N871" s="113"/>
    </row>
    <row r="872">
      <c r="C872" s="22"/>
      <c r="N872" s="113"/>
    </row>
    <row r="873">
      <c r="C873" s="22"/>
      <c r="N873" s="113"/>
    </row>
    <row r="874">
      <c r="C874" s="22"/>
      <c r="N874" s="113"/>
    </row>
    <row r="875">
      <c r="C875" s="22"/>
      <c r="N875" s="113"/>
    </row>
    <row r="876">
      <c r="C876" s="22"/>
      <c r="N876" s="113"/>
    </row>
    <row r="877">
      <c r="C877" s="22"/>
      <c r="N877" s="113"/>
    </row>
    <row r="878">
      <c r="C878" s="22"/>
      <c r="N878" s="113"/>
    </row>
    <row r="879">
      <c r="C879" s="22"/>
      <c r="N879" s="113"/>
    </row>
    <row r="880">
      <c r="C880" s="22"/>
      <c r="N880" s="113"/>
    </row>
    <row r="881">
      <c r="C881" s="22"/>
      <c r="N881" s="113"/>
    </row>
    <row r="882">
      <c r="C882" s="22"/>
      <c r="N882" s="113"/>
    </row>
    <row r="883">
      <c r="C883" s="22"/>
      <c r="N883" s="113"/>
    </row>
    <row r="884">
      <c r="C884" s="22"/>
      <c r="N884" s="113"/>
    </row>
    <row r="885">
      <c r="C885" s="22"/>
      <c r="N885" s="113"/>
    </row>
    <row r="886">
      <c r="C886" s="22"/>
      <c r="N886" s="113"/>
    </row>
    <row r="887">
      <c r="C887" s="22"/>
      <c r="N887" s="113"/>
    </row>
    <row r="888">
      <c r="C888" s="22"/>
      <c r="N888" s="113"/>
    </row>
    <row r="889">
      <c r="C889" s="22"/>
      <c r="N889" s="113"/>
    </row>
    <row r="890">
      <c r="C890" s="22"/>
      <c r="N890" s="113"/>
    </row>
    <row r="891">
      <c r="C891" s="22"/>
      <c r="N891" s="113"/>
    </row>
    <row r="892">
      <c r="C892" s="22"/>
      <c r="N892" s="113"/>
    </row>
    <row r="893">
      <c r="C893" s="22"/>
      <c r="N893" s="113"/>
    </row>
    <row r="894">
      <c r="C894" s="22"/>
      <c r="N894" s="113"/>
    </row>
    <row r="895">
      <c r="C895" s="22"/>
      <c r="N895" s="113"/>
    </row>
    <row r="896">
      <c r="C896" s="22"/>
      <c r="N896" s="113"/>
    </row>
    <row r="897">
      <c r="C897" s="22"/>
      <c r="N897" s="113"/>
    </row>
    <row r="898">
      <c r="C898" s="22"/>
      <c r="N898" s="113"/>
    </row>
    <row r="899">
      <c r="C899" s="22"/>
      <c r="N899" s="113"/>
    </row>
    <row r="900">
      <c r="C900" s="22"/>
      <c r="N900" s="113"/>
    </row>
    <row r="901">
      <c r="C901" s="22"/>
      <c r="N901" s="113"/>
    </row>
    <row r="902">
      <c r="C902" s="22"/>
      <c r="N902" s="113"/>
    </row>
    <row r="903">
      <c r="C903" s="22"/>
      <c r="N903" s="113"/>
    </row>
    <row r="904">
      <c r="C904" s="22"/>
      <c r="N904" s="113"/>
    </row>
    <row r="905">
      <c r="C905" s="22"/>
      <c r="N905" s="113"/>
    </row>
    <row r="906">
      <c r="C906" s="22"/>
      <c r="N906" s="113"/>
    </row>
    <row r="907">
      <c r="C907" s="22"/>
      <c r="N907" s="113"/>
    </row>
    <row r="908">
      <c r="C908" s="22"/>
      <c r="N908" s="113"/>
    </row>
    <row r="909">
      <c r="C909" s="22"/>
      <c r="N909" s="113"/>
    </row>
    <row r="910">
      <c r="C910" s="22"/>
      <c r="N910" s="113"/>
    </row>
    <row r="911">
      <c r="C911" s="22"/>
      <c r="N911" s="113"/>
    </row>
    <row r="912">
      <c r="C912" s="22"/>
      <c r="N912" s="113"/>
    </row>
    <row r="913">
      <c r="C913" s="22"/>
      <c r="N913" s="113"/>
    </row>
    <row r="914">
      <c r="C914" s="22"/>
      <c r="N914" s="113"/>
    </row>
    <row r="915">
      <c r="C915" s="22"/>
      <c r="N915" s="113"/>
    </row>
    <row r="916">
      <c r="C916" s="22"/>
      <c r="N916" s="113"/>
    </row>
    <row r="917">
      <c r="C917" s="22"/>
      <c r="N917" s="113"/>
    </row>
    <row r="918">
      <c r="C918" s="22"/>
      <c r="N918" s="113"/>
    </row>
    <row r="919">
      <c r="C919" s="22"/>
      <c r="N919" s="113"/>
    </row>
    <row r="920">
      <c r="C920" s="22"/>
      <c r="N920" s="113"/>
    </row>
    <row r="921">
      <c r="C921" s="22"/>
      <c r="N921" s="113"/>
    </row>
    <row r="922">
      <c r="C922" s="22"/>
      <c r="N922" s="113"/>
    </row>
    <row r="923">
      <c r="C923" s="22"/>
      <c r="N923" s="113"/>
    </row>
    <row r="924">
      <c r="C924" s="22"/>
      <c r="N924" s="113"/>
    </row>
    <row r="925">
      <c r="C925" s="22"/>
      <c r="N925" s="113"/>
    </row>
    <row r="926">
      <c r="C926" s="22"/>
      <c r="N926" s="113"/>
    </row>
    <row r="927">
      <c r="C927" s="22"/>
      <c r="N927" s="113"/>
    </row>
    <row r="928">
      <c r="C928" s="22"/>
      <c r="N928" s="113"/>
    </row>
    <row r="929">
      <c r="C929" s="22"/>
      <c r="N929" s="113"/>
    </row>
    <row r="930">
      <c r="C930" s="22"/>
      <c r="N930" s="113"/>
    </row>
    <row r="931">
      <c r="C931" s="22"/>
      <c r="N931" s="113"/>
    </row>
    <row r="932">
      <c r="C932" s="22"/>
      <c r="N932" s="113"/>
    </row>
    <row r="933">
      <c r="C933" s="22"/>
      <c r="N933" s="113"/>
    </row>
    <row r="934">
      <c r="C934" s="22"/>
      <c r="N934" s="113"/>
    </row>
    <row r="935">
      <c r="C935" s="22"/>
      <c r="N935" s="113"/>
    </row>
    <row r="936">
      <c r="C936" s="22"/>
      <c r="N936" s="113"/>
    </row>
    <row r="937">
      <c r="C937" s="22"/>
      <c r="N937" s="113"/>
    </row>
    <row r="938">
      <c r="C938" s="22"/>
      <c r="N938" s="113"/>
    </row>
    <row r="939">
      <c r="C939" s="22"/>
      <c r="N939" s="113"/>
    </row>
    <row r="940">
      <c r="C940" s="22"/>
      <c r="N940" s="113"/>
    </row>
    <row r="941">
      <c r="C941" s="22"/>
      <c r="N941" s="113"/>
    </row>
    <row r="942">
      <c r="C942" s="22"/>
      <c r="N942" s="113"/>
    </row>
    <row r="943">
      <c r="C943" s="22"/>
      <c r="N943" s="113"/>
    </row>
    <row r="944">
      <c r="C944" s="22"/>
      <c r="N944" s="113"/>
    </row>
    <row r="945">
      <c r="C945" s="22"/>
      <c r="N945" s="113"/>
    </row>
    <row r="946">
      <c r="C946" s="22"/>
      <c r="N946" s="113"/>
    </row>
    <row r="947">
      <c r="C947" s="22"/>
      <c r="N947" s="113"/>
    </row>
    <row r="948">
      <c r="C948" s="22"/>
      <c r="N948" s="113"/>
    </row>
    <row r="949">
      <c r="C949" s="22"/>
      <c r="N949" s="113"/>
    </row>
    <row r="950">
      <c r="C950" s="22"/>
      <c r="N950" s="113"/>
    </row>
    <row r="951">
      <c r="C951" s="22"/>
      <c r="N951" s="113"/>
    </row>
    <row r="952">
      <c r="C952" s="22"/>
      <c r="N952" s="113"/>
    </row>
    <row r="953">
      <c r="C953" s="22"/>
      <c r="N953" s="113"/>
    </row>
    <row r="954">
      <c r="C954" s="22"/>
      <c r="N954" s="113"/>
    </row>
    <row r="955">
      <c r="C955" s="22"/>
      <c r="N955" s="113"/>
    </row>
    <row r="956">
      <c r="C956" s="22"/>
      <c r="N956" s="113"/>
    </row>
    <row r="957">
      <c r="C957" s="22"/>
      <c r="N957" s="113"/>
    </row>
    <row r="958">
      <c r="C958" s="22"/>
      <c r="N958" s="113"/>
    </row>
    <row r="959">
      <c r="C959" s="22"/>
      <c r="N959" s="113"/>
    </row>
    <row r="960">
      <c r="C960" s="22"/>
      <c r="N960" s="113"/>
    </row>
    <row r="961">
      <c r="C961" s="22"/>
      <c r="N961" s="113"/>
    </row>
    <row r="962">
      <c r="C962" s="22"/>
      <c r="N962" s="113"/>
    </row>
    <row r="963">
      <c r="C963" s="22"/>
      <c r="N963" s="113"/>
    </row>
    <row r="964">
      <c r="C964" s="22"/>
      <c r="N964" s="113"/>
    </row>
    <row r="965">
      <c r="C965" s="22"/>
      <c r="N965" s="113"/>
    </row>
    <row r="966">
      <c r="C966" s="22"/>
      <c r="N966" s="113"/>
    </row>
    <row r="967">
      <c r="C967" s="22"/>
      <c r="N967" s="113"/>
    </row>
    <row r="968">
      <c r="C968" s="22"/>
      <c r="N968" s="113"/>
    </row>
    <row r="969">
      <c r="C969" s="22"/>
      <c r="N969" s="113"/>
    </row>
    <row r="970">
      <c r="C970" s="22"/>
      <c r="N970" s="113"/>
    </row>
    <row r="971">
      <c r="C971" s="22"/>
      <c r="N971" s="113"/>
    </row>
    <row r="972">
      <c r="C972" s="22"/>
      <c r="N972" s="113"/>
    </row>
    <row r="973">
      <c r="C973" s="22"/>
      <c r="N973" s="113"/>
    </row>
    <row r="974">
      <c r="C974" s="22"/>
      <c r="N974" s="113"/>
    </row>
    <row r="975">
      <c r="C975" s="22"/>
      <c r="N975" s="113"/>
    </row>
    <row r="976">
      <c r="C976" s="22"/>
      <c r="N976" s="113"/>
    </row>
    <row r="977">
      <c r="C977" s="22"/>
      <c r="N977" s="113"/>
    </row>
    <row r="978">
      <c r="C978" s="22"/>
      <c r="N978" s="113"/>
    </row>
    <row r="979">
      <c r="C979" s="22"/>
      <c r="N979" s="113"/>
    </row>
    <row r="980">
      <c r="C980" s="22"/>
      <c r="N980" s="113"/>
    </row>
    <row r="981">
      <c r="C981" s="22"/>
      <c r="N981" s="113"/>
    </row>
    <row r="982">
      <c r="C982" s="22"/>
      <c r="N982" s="113"/>
    </row>
    <row r="983">
      <c r="C983" s="22"/>
      <c r="N983" s="113"/>
    </row>
    <row r="984">
      <c r="C984" s="22"/>
      <c r="N984" s="113"/>
    </row>
    <row r="985">
      <c r="C985" s="22"/>
      <c r="N985" s="113"/>
    </row>
    <row r="986">
      <c r="C986" s="22"/>
      <c r="N986" s="113"/>
    </row>
    <row r="987">
      <c r="C987" s="22"/>
      <c r="N987" s="113"/>
    </row>
    <row r="988">
      <c r="C988" s="22"/>
      <c r="N988" s="113"/>
    </row>
    <row r="989">
      <c r="C989" s="22"/>
      <c r="N989" s="113"/>
    </row>
    <row r="990">
      <c r="C990" s="22"/>
      <c r="N990" s="113"/>
    </row>
    <row r="991">
      <c r="C991" s="22"/>
      <c r="N991" s="113"/>
    </row>
    <row r="992">
      <c r="C992" s="22"/>
      <c r="N992" s="113"/>
    </row>
    <row r="993">
      <c r="C993" s="22"/>
      <c r="N993" s="113"/>
    </row>
    <row r="994">
      <c r="C994" s="22"/>
      <c r="N994" s="113"/>
    </row>
    <row r="995">
      <c r="C995" s="22"/>
      <c r="N995" s="113"/>
    </row>
    <row r="996">
      <c r="C996" s="22"/>
      <c r="N996" s="113"/>
    </row>
    <row r="997">
      <c r="C997" s="22"/>
      <c r="N997" s="113"/>
    </row>
    <row r="998">
      <c r="C998" s="22"/>
      <c r="N998" s="113"/>
    </row>
    <row r="999">
      <c r="C999" s="22"/>
      <c r="N999" s="113"/>
    </row>
    <row r="1000">
      <c r="C1000" s="22"/>
    </row>
    <row r="1001">
      <c r="C1001" s="22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5.38"/>
    <col customWidth="1" min="3" max="3" width="34.88"/>
    <col customWidth="1" min="4" max="5" width="15.38"/>
    <col customWidth="1" min="6" max="6" width="23.5"/>
    <col customWidth="1" min="7" max="7" width="3.13"/>
  </cols>
  <sheetData>
    <row r="1">
      <c r="A1" s="122"/>
      <c r="B1" s="123"/>
      <c r="C1" s="123"/>
      <c r="D1" s="124" t="s">
        <v>1034</v>
      </c>
      <c r="E1" s="124" t="s">
        <v>1035</v>
      </c>
      <c r="F1" s="123"/>
      <c r="G1" s="123"/>
    </row>
    <row r="2">
      <c r="A2" s="122"/>
      <c r="B2" s="123"/>
      <c r="C2" s="123"/>
      <c r="D2" s="123"/>
      <c r="E2" s="123"/>
      <c r="F2" s="123"/>
      <c r="G2" s="123"/>
    </row>
    <row r="3">
      <c r="A3" s="122"/>
      <c r="B3" s="125"/>
      <c r="C3" s="126" t="s">
        <v>1036</v>
      </c>
      <c r="D3" s="127">
        <f>IFERROR(__xludf.DUMMYFUNCTION("SUM(FILTER(ARRAYFORMULA(VALUE(SUBSTITUTE(SUBSTITUTE(E128:E287,""€"",""""),"" "",""""))), ARRAYFORMULA(VALUE(SUBSTITUTE(SUBSTITUTE(E128:E287,""€"",""""),"" "",""""))) &gt; 0))
"),17462.9)</f>
        <v>17462.9</v>
      </c>
      <c r="E3" s="128">
        <f>IFERROR(__xludf.DUMMYFUNCTION("SUM(FILTER(ARRAYFORMULA(VALUE(SUBSTITUTE(SUBSTITUTE(E128:E287,""€"",""""),"" "",""""))), ARRAYFORMULA(VALUE(SUBSTITUTE(SUBSTITUTE(E128:E287,""€"",""""),"" "",""""))) &lt; 0))
"),-26503.76000000001)</f>
        <v>-26503.76</v>
      </c>
      <c r="F3" s="125"/>
      <c r="G3" s="125"/>
    </row>
    <row r="4">
      <c r="A4" s="122"/>
      <c r="B4" s="125"/>
      <c r="C4" s="129"/>
      <c r="D4" s="129"/>
      <c r="E4" s="129"/>
      <c r="F4" s="125"/>
      <c r="G4" s="125"/>
    </row>
    <row r="5">
      <c r="A5" s="122"/>
      <c r="B5" s="125"/>
      <c r="C5" s="125"/>
      <c r="D5" s="125"/>
      <c r="E5" s="130">
        <f>sum(D3:E3)</f>
        <v>-9040.86</v>
      </c>
      <c r="F5" s="125"/>
      <c r="G5" s="125"/>
    </row>
    <row r="6">
      <c r="A6" s="122"/>
      <c r="B6" s="125"/>
      <c r="C6" s="125"/>
      <c r="D6" s="125"/>
      <c r="E6" s="129"/>
      <c r="F6" s="125"/>
      <c r="G6" s="125"/>
    </row>
    <row r="7">
      <c r="A7" s="131"/>
      <c r="B7" s="131"/>
      <c r="C7" s="132"/>
      <c r="D7" s="133"/>
      <c r="E7" s="134"/>
      <c r="F7" s="132"/>
    </row>
    <row r="8">
      <c r="A8" s="131"/>
      <c r="B8" s="131"/>
      <c r="C8" s="132"/>
      <c r="D8" s="133"/>
      <c r="E8" s="134"/>
      <c r="F8" s="132"/>
    </row>
    <row r="9">
      <c r="A9" s="131"/>
      <c r="B9" s="131"/>
      <c r="C9" s="135" t="s">
        <v>1037</v>
      </c>
      <c r="D9" s="136"/>
      <c r="E9" s="137"/>
      <c r="F9" s="124"/>
    </row>
    <row r="10">
      <c r="A10" s="131"/>
      <c r="B10" s="131"/>
      <c r="C10" s="138" t="str">
        <f>IFERROR(__xludf.DUMMYFUNCTION("ARRAY_CONSTRAIN(SORT(QUERY(FILTER({ARRAYFORMULA(UPPER(C128:C287)), ARRAYFORMULA(VALUE(SUBSTITUTE(SUBSTITUTE(E128:E287,""€"",""""),"" "","""")))}, ARRAYFORMULA(VALUE(SUBSTITUTE(SUBSTITUTE(E128:E287,""€"",""""),"" "",""""))) &gt; 0), ""select Col1, sum(Col2) w"&amp;"here Col1 is not null group by Col1 label sum(Col2) ''"", 0), 2, FALSE), 5, 2)
"),"CASH")</f>
        <v>CASH</v>
      </c>
      <c r="D10" s="139">
        <f>IFERROR(__xludf.DUMMYFUNCTION("""COMPUTED_VALUE"""),5570.0)</f>
        <v>5570</v>
      </c>
      <c r="E10" s="140"/>
      <c r="F10" s="123"/>
    </row>
    <row r="11">
      <c r="A11" s="131"/>
      <c r="B11" s="131"/>
      <c r="C11" s="141" t="str">
        <f>IFERROR(__xludf.DUMMYFUNCTION("""COMPUTED_VALUE"""),"STICHTING MOLLIE PAYMENTS")</f>
        <v>STICHTING MOLLIE PAYMENTS</v>
      </c>
      <c r="D11" s="142">
        <f>IFERROR(__xludf.DUMMYFUNCTION("""COMPUTED_VALUE"""),3864.1000000000004)</f>
        <v>3864.1</v>
      </c>
      <c r="E11" s="140"/>
      <c r="F11" s="123"/>
    </row>
    <row r="12">
      <c r="A12" s="131"/>
      <c r="B12" s="131"/>
      <c r="C12" s="141" t="str">
        <f>IFERROR(__xludf.DUMMYFUNCTION("""COMPUTED_VALUE"""),"ADM,COM, FLEURUS")</f>
        <v>ADM,COM, FLEURUS</v>
      </c>
      <c r="D12" s="142">
        <f>IFERROR(__xludf.DUMMYFUNCTION("""COMPUTED_VALUE"""),1240.0)</f>
        <v>1240</v>
      </c>
      <c r="E12" s="140"/>
      <c r="F12" s="123"/>
    </row>
    <row r="13">
      <c r="A13" s="131"/>
      <c r="B13" s="131"/>
      <c r="C13" s="141" t="str">
        <f>IFERROR(__xludf.DUMMYFUNCTION("""COMPUTED_VALUE"""),"MIFRATEL NV")</f>
        <v>MIFRATEL NV</v>
      </c>
      <c r="D13" s="142">
        <f>IFERROR(__xludf.DUMMYFUNCTION("""COMPUTED_VALUE"""),859.1)</f>
        <v>859.1</v>
      </c>
      <c r="E13" s="143"/>
      <c r="F13" s="144"/>
    </row>
    <row r="14">
      <c r="A14" s="131"/>
      <c r="B14" s="131"/>
      <c r="C14" s="145" t="str">
        <f>IFERROR(__xludf.DUMMYFUNCTION("""COMPUTED_VALUE"""),"MISTERFLY SAS SUCCURSALE BELGIQUE")</f>
        <v>MISTERFLY SAS SUCCURSALE BELGIQUE</v>
      </c>
      <c r="D14" s="146">
        <f>IFERROR(__xludf.DUMMYFUNCTION("""COMPUTED_VALUE"""),847.0)</f>
        <v>847</v>
      </c>
      <c r="E14" s="147"/>
      <c r="F14" s="144"/>
    </row>
    <row r="15">
      <c r="A15" s="131"/>
      <c r="B15" s="131"/>
      <c r="C15" s="141" t="str">
        <f>IFERROR(__xludf.DUMMYFUNCTION("ARRAYFORMULA({ INDEX(ARRAY_CONSTRAIN(SORT( QUERY( FILTER({ARRAYFORMULA(UPPER(C128:C287)), ARRAYFORMULA(VALUE(SUBSTITUTE(SUBSTITUTE(E128:E287,""€"",""""),"" "","""")))}, ARRAYFORMULA(VALUE(SUBSTITUTE(SUBSTITUTE(E128:E287,""€"",""""),"" "",""""))) &lt; 0), ""s"&amp;"elect Col1, sum(Col2) where Col1 is not null group by Col1 label sum(Col2) ''"", 0 ), 2, TRUE ), 8, 2), , 1), IF(SEQUENCE(8,1), """"), INDEX(ARRAY_CONSTRAIN(SORT( QUERY( FILTER({ARRAYFORMULA(UPPER(C128:C287)), ARRAYFORMULA(VALUE(SUBSTITUTE(SUBSTITUTE(E128"&amp;":E287,""€"",""""),"" "","""")))}, ARRAYFORMULA(VALUE(SUBSTITUTE(SUBSTITUTE(E128:E287,""€"",""""),"" "",""""))) &lt; 0), ""select Col1, sum(Col2) where Col1 is not null group by Col1 label sum(Col2) ''"", 0 ), 2, TRUE ), 8, 2), , 2) })
"),"PAYPAL EUROPE S,A,R,L, ET CIE S,C,A")</f>
        <v>PAYPAL EUROPE S,A,R,L, ET CIE S,C,A</v>
      </c>
      <c r="D15" s="123" t="str">
        <f>IFERROR(__xludf.DUMMYFUNCTION("""COMPUTED_VALUE"""),"")</f>
        <v/>
      </c>
      <c r="E15" s="148">
        <f>IFERROR(__xludf.DUMMYFUNCTION("""COMPUTED_VALUE"""),-6016.699999999999)</f>
        <v>-6016.7</v>
      </c>
      <c r="F15" s="149"/>
    </row>
    <row r="16">
      <c r="A16" s="131"/>
      <c r="B16" s="131"/>
      <c r="C16" s="141" t="str">
        <f>IFERROR(__xludf.DUMMYFUNCTION("""COMPUTED_VALUE"""),"RECETTES TVA")</f>
        <v>RECETTES TVA</v>
      </c>
      <c r="D16" s="123" t="str">
        <f>IFERROR(__xludf.DUMMYFUNCTION("""COMPUTED_VALUE"""),"")</f>
        <v/>
      </c>
      <c r="E16" s="148">
        <f>IFERROR(__xludf.DUMMYFUNCTION("""COMPUTED_VALUE"""),-2492.8100000000004)</f>
        <v>-2492.81</v>
      </c>
      <c r="F16" s="149"/>
    </row>
    <row r="17">
      <c r="A17" s="131"/>
      <c r="B17" s="131"/>
      <c r="C17" s="141" t="str">
        <f>IFERROR(__xludf.DUMMYFUNCTION("""COMPUTED_VALUE"""),"EYE-T CONSULTING SRL")</f>
        <v>EYE-T CONSULTING SRL</v>
      </c>
      <c r="D17" s="123" t="str">
        <f>IFERROR(__xludf.DUMMYFUNCTION("""COMPUTED_VALUE"""),"")</f>
        <v/>
      </c>
      <c r="E17" s="148">
        <f>IFERROR(__xludf.DUMMYFUNCTION("""COMPUTED_VALUE"""),-2459.83)</f>
        <v>-2459.83</v>
      </c>
      <c r="F17" s="149"/>
    </row>
    <row r="18">
      <c r="A18" s="131"/>
      <c r="B18" s="131"/>
      <c r="C18" s="141" t="str">
        <f>IFERROR(__xludf.DUMMYFUNCTION("""COMPUTED_VALUE"""),"M,B, TECH")</f>
        <v>M,B, TECH</v>
      </c>
      <c r="D18" s="123" t="str">
        <f>IFERROR(__xludf.DUMMYFUNCTION("""COMPUTED_VALUE"""),"")</f>
        <v/>
      </c>
      <c r="E18" s="148">
        <f>IFERROR(__xludf.DUMMYFUNCTION("""COMPUTED_VALUE"""),-2437.18)</f>
        <v>-2437.18</v>
      </c>
      <c r="F18" s="149"/>
    </row>
    <row r="19">
      <c r="A19" s="131"/>
      <c r="B19" s="131"/>
      <c r="C19" s="141" t="str">
        <f>IFERROR(__xludf.DUMMYFUNCTION("""COMPUTED_VALUE"""),"DEDUORVA")</f>
        <v>DEDUORVA</v>
      </c>
      <c r="D19" s="123" t="str">
        <f>IFERROR(__xludf.DUMMYFUNCTION("""COMPUTED_VALUE"""),"")</f>
        <v/>
      </c>
      <c r="E19" s="148">
        <f>IFERROR(__xludf.DUMMYFUNCTION("""COMPUTED_VALUE"""),-2178.0)</f>
        <v>-2178</v>
      </c>
      <c r="F19" s="149"/>
    </row>
    <row r="20">
      <c r="A20" s="131"/>
      <c r="B20" s="131"/>
      <c r="C20" s="141" t="str">
        <f>IFERROR(__xludf.DUMMYFUNCTION("""COMPUTED_VALUE"""),"ECOGESTION")</f>
        <v>ECOGESTION</v>
      </c>
      <c r="D20" s="123" t="str">
        <f>IFERROR(__xludf.DUMMYFUNCTION("""COMPUTED_VALUE"""),"")</f>
        <v/>
      </c>
      <c r="E20" s="148">
        <f>IFERROR(__xludf.DUMMYFUNCTION("""COMPUTED_VALUE"""),-2178.0)</f>
        <v>-2178</v>
      </c>
      <c r="F20" s="149"/>
    </row>
    <row r="21">
      <c r="A21" s="131"/>
      <c r="B21" s="131"/>
      <c r="C21" s="141" t="str">
        <f>IFERROR(__xludf.DUMMYFUNCTION("""COMPUTED_VALUE"""),"MONIQUE DECLOEDT")</f>
        <v>MONIQUE DECLOEDT</v>
      </c>
      <c r="D21" s="123" t="str">
        <f>IFERROR(__xludf.DUMMYFUNCTION("""COMPUTED_VALUE"""),"")</f>
        <v/>
      </c>
      <c r="E21" s="148">
        <f>IFERROR(__xludf.DUMMYFUNCTION("""COMPUTED_VALUE"""),-1320.0)</f>
        <v>-1320</v>
      </c>
      <c r="F21" s="149"/>
    </row>
    <row r="22">
      <c r="A22" s="131"/>
      <c r="B22" s="131"/>
      <c r="C22" s="141" t="str">
        <f>IFERROR(__xludf.DUMMYFUNCTION("""COMPUTED_VALUE"""),"PROXIMUS")</f>
        <v>PROXIMUS</v>
      </c>
      <c r="D22" s="123" t="str">
        <f>IFERROR(__xludf.DUMMYFUNCTION("""COMPUTED_VALUE"""),"")</f>
        <v/>
      </c>
      <c r="E22" s="148">
        <f>IFERROR(__xludf.DUMMYFUNCTION("""COMPUTED_VALUE"""),-970.45)</f>
        <v>-970.45</v>
      </c>
      <c r="F22" s="149"/>
    </row>
    <row r="23">
      <c r="A23" s="131"/>
      <c r="B23" s="131"/>
      <c r="C23" s="141"/>
      <c r="D23" s="123"/>
      <c r="E23" s="148"/>
      <c r="F23" s="149"/>
    </row>
    <row r="24">
      <c r="A24" s="131"/>
      <c r="B24" s="131"/>
      <c r="C24" s="145"/>
      <c r="D24" s="150"/>
      <c r="E24" s="151"/>
      <c r="F24" s="149"/>
    </row>
    <row r="25">
      <c r="A25" s="131"/>
      <c r="B25" s="131"/>
      <c r="C25" s="132"/>
      <c r="D25" s="133"/>
      <c r="E25" s="134"/>
      <c r="F25" s="132"/>
    </row>
    <row r="26">
      <c r="A26" s="131"/>
      <c r="B26" s="131"/>
      <c r="C26" s="132"/>
      <c r="D26" s="133"/>
      <c r="E26" s="134"/>
      <c r="F26" s="132"/>
    </row>
    <row r="27">
      <c r="A27" s="122"/>
      <c r="B27" s="125"/>
      <c r="C27" s="152" t="s">
        <v>1038</v>
      </c>
      <c r="D27" s="127">
        <f>IFERROR(__xludf.DUMMYFUNCTION("SUM(FILTER(ARRAYFORMULA(VALUE(SUBSTITUTE(SUBSTITUTE(E127:E166,""€"",""""),"" "",""""))), ARRAYFORMULA(VALUE(SUBSTITUTE(SUBSTITUTE(E127:E166,""€"",""""),"" "",""""))) &gt; 0))
"),2387.7)</f>
        <v>2387.7</v>
      </c>
      <c r="E27" s="128">
        <f>IFERROR(__xludf.DUMMYFUNCTION("SUM(FILTER(ARRAYFORMULA(VALUE(SUBSTITUTE(SUBSTITUTE(E127:E166,""€"",""""),"" "",""""))), ARRAYFORMULA(VALUE(SUBSTITUTE(SUBSTITUTE(E127:E166,""€"",""""),"" "",""""))) &lt; 0))
"),-5390.31)</f>
        <v>-5390.31</v>
      </c>
      <c r="F27" s="125"/>
      <c r="G27" s="125"/>
    </row>
    <row r="28">
      <c r="A28" s="122"/>
      <c r="B28" s="125"/>
      <c r="C28" s="129"/>
      <c r="D28" s="129"/>
      <c r="E28" s="129"/>
      <c r="F28" s="125"/>
      <c r="G28" s="125"/>
    </row>
    <row r="29">
      <c r="A29" s="122"/>
      <c r="B29" s="125"/>
      <c r="C29" s="125"/>
      <c r="D29" s="125"/>
      <c r="E29" s="130">
        <f>sum(D27:E27)</f>
        <v>-3002.61</v>
      </c>
      <c r="F29" s="125"/>
      <c r="G29" s="125"/>
    </row>
    <row r="30">
      <c r="A30" s="122"/>
      <c r="B30" s="125"/>
      <c r="C30" s="125"/>
      <c r="D30" s="125"/>
      <c r="E30" s="129"/>
      <c r="F30" s="125"/>
      <c r="G30" s="125"/>
    </row>
    <row r="31">
      <c r="A31" s="131"/>
      <c r="B31" s="131"/>
      <c r="C31" s="132"/>
      <c r="D31" s="133"/>
      <c r="E31" s="134"/>
      <c r="F31" s="132"/>
    </row>
    <row r="32">
      <c r="A32" s="131"/>
      <c r="B32" s="131"/>
      <c r="C32" s="132"/>
      <c r="D32" s="133"/>
      <c r="E32" s="134"/>
      <c r="F32" s="132"/>
    </row>
    <row r="33">
      <c r="A33" s="131"/>
      <c r="B33" s="131"/>
      <c r="C33" s="135" t="s">
        <v>1037</v>
      </c>
      <c r="D33" s="136"/>
      <c r="E33" s="137"/>
      <c r="F33" s="124"/>
    </row>
    <row r="34">
      <c r="A34" s="131"/>
      <c r="B34" s="131"/>
      <c r="C34" s="138" t="str">
        <f>IFERROR(__xludf.DUMMYFUNCTION("ARRAY_CONSTRAIN(SORT(QUERY(FILTER({ARRAYFORMULA(UPPER(C152:C311)), ARRAYFORMULA(VALUE(SUBSTITUTE(SUBSTITUTE(E152:E311,""€"",""""),"" "","""")))}, ARRAYFORMULA(VALUE(SUBSTITUTE(SUBSTITUTE(E152:E311,""€"",""""),"" "",""""))) &gt; 0), ""select Col1, sum(Col2) w"&amp;"here Col1 is not null group by Col1 label sum(Col2) ''"", 0), 2, FALSE), 5, 2)
"),"CASH")</f>
        <v>CASH</v>
      </c>
      <c r="D34" s="139">
        <f>IFERROR(__xludf.DUMMYFUNCTION("""COMPUTED_VALUE"""),5570.0)</f>
        <v>5570</v>
      </c>
      <c r="E34" s="140"/>
      <c r="F34" s="123"/>
    </row>
    <row r="35">
      <c r="A35" s="131"/>
      <c r="B35" s="131"/>
      <c r="C35" s="141" t="str">
        <f>IFERROR(__xludf.DUMMYFUNCTION("""COMPUTED_VALUE"""),"STICHTING MOLLIE PAYMENTS")</f>
        <v>STICHTING MOLLIE PAYMENTS</v>
      </c>
      <c r="D35" s="142">
        <f>IFERROR(__xludf.DUMMYFUNCTION("""COMPUTED_VALUE"""),3864.1000000000004)</f>
        <v>3864.1</v>
      </c>
      <c r="E35" s="140"/>
      <c r="F35" s="123"/>
    </row>
    <row r="36">
      <c r="A36" s="131"/>
      <c r="B36" s="131"/>
      <c r="C36" s="141" t="str">
        <f>IFERROR(__xludf.DUMMYFUNCTION("""COMPUTED_VALUE"""),"ADM,COM, FLEURUS")</f>
        <v>ADM,COM, FLEURUS</v>
      </c>
      <c r="D36" s="142">
        <f>IFERROR(__xludf.DUMMYFUNCTION("""COMPUTED_VALUE"""),1240.0)</f>
        <v>1240</v>
      </c>
      <c r="E36" s="140"/>
      <c r="F36" s="123"/>
    </row>
    <row r="37">
      <c r="A37" s="131"/>
      <c r="B37" s="131"/>
      <c r="C37" s="141" t="str">
        <f>IFERROR(__xludf.DUMMYFUNCTION("""COMPUTED_VALUE"""),"MIFRATEL NV")</f>
        <v>MIFRATEL NV</v>
      </c>
      <c r="D37" s="142">
        <f>IFERROR(__xludf.DUMMYFUNCTION("""COMPUTED_VALUE"""),859.1)</f>
        <v>859.1</v>
      </c>
      <c r="E37" s="143"/>
      <c r="F37" s="144"/>
    </row>
    <row r="38">
      <c r="A38" s="131"/>
      <c r="B38" s="131"/>
      <c r="C38" s="145" t="str">
        <f>IFERROR(__xludf.DUMMYFUNCTION("""COMPUTED_VALUE"""),"MISTERFLY SAS SUCCURSALE BELGIQUE")</f>
        <v>MISTERFLY SAS SUCCURSALE BELGIQUE</v>
      </c>
      <c r="D38" s="146">
        <f>IFERROR(__xludf.DUMMYFUNCTION("""COMPUTED_VALUE"""),847.0)</f>
        <v>847</v>
      </c>
      <c r="E38" s="147"/>
      <c r="F38" s="144"/>
    </row>
    <row r="39">
      <c r="A39" s="131"/>
      <c r="B39" s="131"/>
      <c r="C39" s="141" t="str">
        <f>IFERROR(__xludf.DUMMYFUNCTION("ARRAYFORMULA({ INDEX(ARRAY_CONSTRAIN(SORT( QUERY( FILTER({ARRAYFORMULA(UPPER(C152:C311)), ARRAYFORMULA(VALUE(SUBSTITUTE(SUBSTITUTE(E152:E311,""€"",""""),"" "","""")))}, ARRAYFORMULA(VALUE(SUBSTITUTE(SUBSTITUTE(E152:E311,""€"",""""),"" "",""""))) &lt; 0), ""s"&amp;"elect Col1, sum(Col2) where Col1 is not null group by Col1 label sum(Col2) ''"", 0 ), 2, TRUE ), 8, 2), , 1), IF(SEQUENCE(8,1), """"), INDEX(ARRAY_CONSTRAIN(SORT( QUERY( FILTER({ARRAYFORMULA(UPPER(C152:C311)), ARRAYFORMULA(VALUE(SUBSTITUTE(SUBSTITUTE(E152"&amp;":E311,""€"",""""),"" "","""")))}, ARRAYFORMULA(VALUE(SUBSTITUTE(SUBSTITUTE(E152:E311,""€"",""""),"" "",""""))) &lt; 0), ""select Col1, sum(Col2) where Col1 is not null group by Col1 label sum(Col2) ''"", 0 ), 2, TRUE ), 8, 2), , 2) })
"),"PAYPAL EUROPE S,A,R,L, ET CIE S,C,A")</f>
        <v>PAYPAL EUROPE S,A,R,L, ET CIE S,C,A</v>
      </c>
      <c r="D39" s="123" t="str">
        <f>IFERROR(__xludf.DUMMYFUNCTION("""COMPUTED_VALUE"""),"")</f>
        <v/>
      </c>
      <c r="E39" s="148">
        <f>IFERROR(__xludf.DUMMYFUNCTION("""COMPUTED_VALUE"""),-4970.579999999999)</f>
        <v>-4970.58</v>
      </c>
      <c r="F39" s="149"/>
    </row>
    <row r="40">
      <c r="A40" s="131"/>
      <c r="B40" s="131"/>
      <c r="C40" s="141" t="str">
        <f>IFERROR(__xludf.DUMMYFUNCTION("""COMPUTED_VALUE"""),"RECETTES TVA")</f>
        <v>RECETTES TVA</v>
      </c>
      <c r="D40" s="123" t="str">
        <f>IFERROR(__xludf.DUMMYFUNCTION("""COMPUTED_VALUE"""),"")</f>
        <v/>
      </c>
      <c r="E40" s="148">
        <f>IFERROR(__xludf.DUMMYFUNCTION("""COMPUTED_VALUE"""),-2492.8100000000004)</f>
        <v>-2492.81</v>
      </c>
      <c r="F40" s="149"/>
    </row>
    <row r="41">
      <c r="A41" s="131"/>
      <c r="B41" s="131"/>
      <c r="C41" s="141" t="str">
        <f>IFERROR(__xludf.DUMMYFUNCTION("""COMPUTED_VALUE"""),"EYE-T CONSULTING SRL")</f>
        <v>EYE-T CONSULTING SRL</v>
      </c>
      <c r="D41" s="123" t="str">
        <f>IFERROR(__xludf.DUMMYFUNCTION("""COMPUTED_VALUE"""),"")</f>
        <v/>
      </c>
      <c r="E41" s="148">
        <f>IFERROR(__xludf.DUMMYFUNCTION("""COMPUTED_VALUE"""),-2459.83)</f>
        <v>-2459.83</v>
      </c>
      <c r="F41" s="149"/>
    </row>
    <row r="42">
      <c r="A42" s="131"/>
      <c r="B42" s="131"/>
      <c r="C42" s="141" t="str">
        <f>IFERROR(__xludf.DUMMYFUNCTION("""COMPUTED_VALUE"""),"M,B, TECH")</f>
        <v>M,B, TECH</v>
      </c>
      <c r="D42" s="123" t="str">
        <f>IFERROR(__xludf.DUMMYFUNCTION("""COMPUTED_VALUE"""),"")</f>
        <v/>
      </c>
      <c r="E42" s="148">
        <f>IFERROR(__xludf.DUMMYFUNCTION("""COMPUTED_VALUE"""),-2437.18)</f>
        <v>-2437.18</v>
      </c>
      <c r="F42" s="149"/>
    </row>
    <row r="43">
      <c r="A43" s="131"/>
      <c r="B43" s="131"/>
      <c r="C43" s="141" t="str">
        <f>IFERROR(__xludf.DUMMYFUNCTION("""COMPUTED_VALUE"""),"DEDUORVA")</f>
        <v>DEDUORVA</v>
      </c>
      <c r="D43" s="123" t="str">
        <f>IFERROR(__xludf.DUMMYFUNCTION("""COMPUTED_VALUE"""),"")</f>
        <v/>
      </c>
      <c r="E43" s="148">
        <f>IFERROR(__xludf.DUMMYFUNCTION("""COMPUTED_VALUE"""),-2178.0)</f>
        <v>-2178</v>
      </c>
      <c r="F43" s="149"/>
    </row>
    <row r="44">
      <c r="A44" s="131"/>
      <c r="B44" s="131"/>
      <c r="C44" s="141" t="str">
        <f>IFERROR(__xludf.DUMMYFUNCTION("""COMPUTED_VALUE"""),"ECOGESTION")</f>
        <v>ECOGESTION</v>
      </c>
      <c r="D44" s="123" t="str">
        <f>IFERROR(__xludf.DUMMYFUNCTION("""COMPUTED_VALUE"""),"")</f>
        <v/>
      </c>
      <c r="E44" s="148">
        <f>IFERROR(__xludf.DUMMYFUNCTION("""COMPUTED_VALUE"""),-2178.0)</f>
        <v>-2178</v>
      </c>
      <c r="F44" s="149"/>
    </row>
    <row r="45">
      <c r="A45" s="131"/>
      <c r="B45" s="131"/>
      <c r="C45" s="141" t="str">
        <f>IFERROR(__xludf.DUMMYFUNCTION("""COMPUTED_VALUE"""),"MONIQUE DECLOEDT")</f>
        <v>MONIQUE DECLOEDT</v>
      </c>
      <c r="D45" s="123" t="str">
        <f>IFERROR(__xludf.DUMMYFUNCTION("""COMPUTED_VALUE"""),"")</f>
        <v/>
      </c>
      <c r="E45" s="148">
        <f>IFERROR(__xludf.DUMMYFUNCTION("""COMPUTED_VALUE"""),-1200.0)</f>
        <v>-1200</v>
      </c>
      <c r="F45" s="149"/>
    </row>
    <row r="46">
      <c r="A46" s="131"/>
      <c r="B46" s="131"/>
      <c r="C46" s="141" t="str">
        <f>IFERROR(__xludf.DUMMYFUNCTION("""COMPUTED_VALUE"""),"PROXIMUS")</f>
        <v>PROXIMUS</v>
      </c>
      <c r="D46" s="123" t="str">
        <f>IFERROR(__xludf.DUMMYFUNCTION("""COMPUTED_VALUE"""),"")</f>
        <v/>
      </c>
      <c r="E46" s="148">
        <f>IFERROR(__xludf.DUMMYFUNCTION("""COMPUTED_VALUE"""),-813.24)</f>
        <v>-813.24</v>
      </c>
      <c r="F46" s="149"/>
    </row>
    <row r="47">
      <c r="A47" s="131"/>
      <c r="B47" s="131"/>
      <c r="C47" s="141"/>
      <c r="D47" s="123"/>
      <c r="E47" s="148"/>
      <c r="F47" s="149"/>
    </row>
    <row r="48">
      <c r="A48" s="131"/>
      <c r="B48" s="131"/>
      <c r="C48" s="145"/>
      <c r="D48" s="150"/>
      <c r="E48" s="151"/>
      <c r="F48" s="149"/>
    </row>
    <row r="49">
      <c r="A49" s="131"/>
      <c r="B49" s="131"/>
      <c r="C49" s="132"/>
      <c r="D49" s="133"/>
      <c r="E49" s="134"/>
      <c r="F49" s="132"/>
    </row>
    <row r="50">
      <c r="A50" s="131"/>
      <c r="B50" s="131"/>
      <c r="C50" s="132"/>
      <c r="D50" s="133"/>
      <c r="E50" s="134"/>
      <c r="F50" s="132"/>
    </row>
    <row r="51">
      <c r="A51" s="131"/>
      <c r="B51" s="131"/>
      <c r="C51" s="132"/>
      <c r="D51" s="133"/>
      <c r="E51" s="134"/>
      <c r="F51" s="132"/>
    </row>
    <row r="52">
      <c r="A52" s="122"/>
      <c r="B52" s="125"/>
      <c r="C52" s="152" t="s">
        <v>1039</v>
      </c>
      <c r="D52" s="127">
        <f>IFERROR(__xludf.DUMMYFUNCTION("SUM(FILTER(ARRAYFORMULA(VALUE(SUBSTITUTE(SUBSTITUTE(E167:E213,""€"",""""),"" "",""""))), ARRAYFORMULA(VALUE(SUBSTITUTE(SUBSTITUTE(E167:E213,""€"",""""),"" "",""""))) &gt; 0))
"),9162.42)</f>
        <v>9162.42</v>
      </c>
      <c r="E52" s="128">
        <f>IFERROR(__xludf.DUMMYFUNCTION("SUM(FILTER(ARRAYFORMULA(VALUE(SUBSTITUTE(SUBSTITUTE(E167:E213,""€"",""""),"" "",""""))), ARRAYFORMULA(VALUE(SUBSTITUTE(SUBSTITUTE(E167:E213,""€"",""""),"" "",""""))) &lt; 0))
"),-5664.55)</f>
        <v>-5664.55</v>
      </c>
      <c r="F52" s="125"/>
      <c r="G52" s="125"/>
    </row>
    <row r="53">
      <c r="A53" s="122"/>
      <c r="B53" s="125"/>
      <c r="C53" s="129"/>
      <c r="D53" s="129"/>
      <c r="E53" s="129"/>
      <c r="F53" s="125"/>
      <c r="G53" s="125"/>
    </row>
    <row r="54">
      <c r="A54" s="122"/>
      <c r="B54" s="125"/>
      <c r="C54" s="125"/>
      <c r="D54" s="125"/>
      <c r="E54" s="153">
        <f>sum(D52:E52)</f>
        <v>3497.87</v>
      </c>
      <c r="F54" s="125"/>
      <c r="G54" s="125"/>
    </row>
    <row r="55">
      <c r="A55" s="122"/>
      <c r="B55" s="125"/>
      <c r="C55" s="125"/>
      <c r="D55" s="125"/>
      <c r="E55" s="129"/>
      <c r="F55" s="125"/>
      <c r="G55" s="125"/>
    </row>
    <row r="56">
      <c r="A56" s="131"/>
      <c r="B56" s="131"/>
      <c r="C56" s="132"/>
      <c r="D56" s="133"/>
      <c r="E56" s="134"/>
      <c r="F56" s="132"/>
    </row>
    <row r="57">
      <c r="A57" s="131"/>
      <c r="B57" s="131"/>
      <c r="C57" s="132"/>
      <c r="D57" s="133"/>
      <c r="E57" s="134"/>
      <c r="F57" s="132"/>
    </row>
    <row r="58">
      <c r="A58" s="131"/>
      <c r="B58" s="131"/>
      <c r="C58" s="135" t="s">
        <v>1037</v>
      </c>
      <c r="D58" s="136"/>
      <c r="E58" s="137"/>
      <c r="F58" s="124"/>
    </row>
    <row r="59">
      <c r="A59" s="131"/>
      <c r="B59" s="131"/>
      <c r="C59" s="138" t="str">
        <f>IFERROR(__xludf.DUMMYFUNCTION("ARRAY_CONSTRAIN(SORT(QUERY(FILTER({ARRAYFORMULA(UPPER(C177:C336)), ARRAYFORMULA(VALUE(SUBSTITUTE(SUBSTITUTE(E177:E336,""€"",""""),"" "","""")))}, ARRAYFORMULA(VALUE(SUBSTITUTE(SUBSTITUTE(E177:E336,""€"",""""),"" "",""""))) &gt; 0), ""select Col1, sum(Col2) w"&amp;"here Col1 is not null group by Col1 label sum(Col2) ''"", 0), 2, FALSE), 5, 2)
"),"STICHTING MOLLIE PAYMENTS")</f>
        <v>STICHTING MOLLIE PAYMENTS</v>
      </c>
      <c r="D59" s="139">
        <f>IFERROR(__xludf.DUMMYFUNCTION("""COMPUTED_VALUE"""),3864.1000000000004)</f>
        <v>3864.1</v>
      </c>
      <c r="E59" s="140"/>
      <c r="F59" s="123"/>
    </row>
    <row r="60">
      <c r="A60" s="131"/>
      <c r="B60" s="131"/>
      <c r="C60" s="141" t="str">
        <f>IFERROR(__xludf.DUMMYFUNCTION("""COMPUTED_VALUE"""),"CASH")</f>
        <v>CASH</v>
      </c>
      <c r="D60" s="142">
        <f>IFERROR(__xludf.DUMMYFUNCTION("""COMPUTED_VALUE"""),1600.0)</f>
        <v>1600</v>
      </c>
      <c r="E60" s="140"/>
      <c r="F60" s="123"/>
    </row>
    <row r="61">
      <c r="A61" s="131"/>
      <c r="B61" s="131"/>
      <c r="C61" s="141" t="str">
        <f>IFERROR(__xludf.DUMMYFUNCTION("""COMPUTED_VALUE"""),"ADM,COM, FLEURUS")</f>
        <v>ADM,COM, FLEURUS</v>
      </c>
      <c r="D61" s="142">
        <f>IFERROR(__xludf.DUMMYFUNCTION("""COMPUTED_VALUE"""),1240.0)</f>
        <v>1240</v>
      </c>
      <c r="E61" s="140"/>
      <c r="F61" s="123"/>
    </row>
    <row r="62">
      <c r="A62" s="131"/>
      <c r="B62" s="131"/>
      <c r="C62" s="141" t="str">
        <f>IFERROR(__xludf.DUMMYFUNCTION("""COMPUTED_VALUE"""),"MIFRATEL NV")</f>
        <v>MIFRATEL NV</v>
      </c>
      <c r="D62" s="142">
        <f>IFERROR(__xludf.DUMMYFUNCTION("""COMPUTED_VALUE"""),859.1)</f>
        <v>859.1</v>
      </c>
      <c r="E62" s="143"/>
      <c r="F62" s="144"/>
    </row>
    <row r="63">
      <c r="A63" s="131"/>
      <c r="B63" s="131"/>
      <c r="C63" s="145" t="str">
        <f>IFERROR(__xludf.DUMMYFUNCTION("""COMPUTED_VALUE"""),"MISTERFLY SAS SUCCURSALE BELGIQUE")</f>
        <v>MISTERFLY SAS SUCCURSALE BELGIQUE</v>
      </c>
      <c r="D63" s="146">
        <f>IFERROR(__xludf.DUMMYFUNCTION("""COMPUTED_VALUE"""),847.0)</f>
        <v>847</v>
      </c>
      <c r="E63" s="147"/>
      <c r="F63" s="144"/>
    </row>
    <row r="64">
      <c r="A64" s="131"/>
      <c r="B64" s="131"/>
      <c r="C64" s="141" t="str">
        <f>IFERROR(__xludf.DUMMYFUNCTION("ARRAYFORMULA({ INDEX(ARRAY_CONSTRAIN(SORT( QUERY( FILTER({ARRAYFORMULA(UPPER(C177:C336)), ARRAYFORMULA(VALUE(SUBSTITUTE(SUBSTITUTE(E177:E336,""€"",""""),"" "","""")))}, ARRAYFORMULA(VALUE(SUBSTITUTE(SUBSTITUTE(E177:E336,""€"",""""),"" "",""""))) &lt; 0), ""s"&amp;"elect Col1, sum(Col2) where Col1 is not null group by Col1 label sum(Col2) ''"", 0 ), 2, TRUE ), 8, 2), , 1), IF(SEQUENCE(8,1), """"), INDEX(ARRAY_CONSTRAIN(SORT( QUERY( FILTER({ARRAYFORMULA(UPPER(C177:C336)), ARRAYFORMULA(VALUE(SUBSTITUTE(SUBSTITUTE(E177"&amp;":E336,""€"",""""),"" "","""")))}, ARRAYFORMULA(VALUE(SUBSTITUTE(SUBSTITUTE(E177:E336,""€"",""""),"" "",""""))) &lt; 0), ""select Col1, sum(Col2) where Col1 is not null group by Col1 label sum(Col2) ''"", 0 ), 2, TRUE ), 8, 2), , 2) })
"),"PAYPAL EUROPE S,A,R,L, ET CIE S,C,A")</f>
        <v>PAYPAL EUROPE S,A,R,L, ET CIE S,C,A</v>
      </c>
      <c r="D64" s="123" t="str">
        <f>IFERROR(__xludf.DUMMYFUNCTION("""COMPUTED_VALUE"""),"")</f>
        <v/>
      </c>
      <c r="E64" s="148">
        <f>IFERROR(__xludf.DUMMYFUNCTION("""COMPUTED_VALUE"""),-3838.23)</f>
        <v>-3838.23</v>
      </c>
      <c r="F64" s="149"/>
    </row>
    <row r="65">
      <c r="A65" s="131"/>
      <c r="B65" s="131"/>
      <c r="C65" s="141" t="str">
        <f>IFERROR(__xludf.DUMMYFUNCTION("""COMPUTED_VALUE"""),"RECETTES TVA")</f>
        <v>RECETTES TVA</v>
      </c>
      <c r="D65" s="123" t="str">
        <f>IFERROR(__xludf.DUMMYFUNCTION("""COMPUTED_VALUE"""),"")</f>
        <v/>
      </c>
      <c r="E65" s="148">
        <f>IFERROR(__xludf.DUMMYFUNCTION("""COMPUTED_VALUE"""),-2492.8100000000004)</f>
        <v>-2492.81</v>
      </c>
      <c r="F65" s="149"/>
    </row>
    <row r="66">
      <c r="A66" s="131"/>
      <c r="B66" s="131"/>
      <c r="C66" s="141" t="str">
        <f>IFERROR(__xludf.DUMMYFUNCTION("""COMPUTED_VALUE"""),"EYE-T CONSULTING SRL")</f>
        <v>EYE-T CONSULTING SRL</v>
      </c>
      <c r="D66" s="123" t="str">
        <f>IFERROR(__xludf.DUMMYFUNCTION("""COMPUTED_VALUE"""),"")</f>
        <v/>
      </c>
      <c r="E66" s="148">
        <f>IFERROR(__xludf.DUMMYFUNCTION("""COMPUTED_VALUE"""),-2459.83)</f>
        <v>-2459.83</v>
      </c>
      <c r="F66" s="149"/>
    </row>
    <row r="67">
      <c r="A67" s="131"/>
      <c r="B67" s="131"/>
      <c r="C67" s="141" t="str">
        <f>IFERROR(__xludf.DUMMYFUNCTION("""COMPUTED_VALUE"""),"DEDUORVA")</f>
        <v>DEDUORVA</v>
      </c>
      <c r="D67" s="123" t="str">
        <f>IFERROR(__xludf.DUMMYFUNCTION("""COMPUTED_VALUE"""),"")</f>
        <v/>
      </c>
      <c r="E67" s="148">
        <f>IFERROR(__xludf.DUMMYFUNCTION("""COMPUTED_VALUE"""),-2178.0)</f>
        <v>-2178</v>
      </c>
      <c r="F67" s="149"/>
    </row>
    <row r="68">
      <c r="A68" s="131"/>
      <c r="B68" s="131"/>
      <c r="C68" s="141" t="str">
        <f>IFERROR(__xludf.DUMMYFUNCTION("""COMPUTED_VALUE"""),"M,B, TECH")</f>
        <v>M,B, TECH</v>
      </c>
      <c r="D68" s="123" t="str">
        <f>IFERROR(__xludf.DUMMYFUNCTION("""COMPUTED_VALUE"""),"")</f>
        <v/>
      </c>
      <c r="E68" s="148">
        <f>IFERROR(__xludf.DUMMYFUNCTION("""COMPUTED_VALUE"""),-1697.1399999999999)</f>
        <v>-1697.14</v>
      </c>
      <c r="F68" s="149"/>
    </row>
    <row r="69">
      <c r="A69" s="131"/>
      <c r="B69" s="131"/>
      <c r="C69" s="141" t="str">
        <f>IFERROR(__xludf.DUMMYFUNCTION("""COMPUTED_VALUE"""),"ECOGESTION")</f>
        <v>ECOGESTION</v>
      </c>
      <c r="D69" s="123" t="str">
        <f>IFERROR(__xludf.DUMMYFUNCTION("""COMPUTED_VALUE"""),"")</f>
        <v/>
      </c>
      <c r="E69" s="148">
        <f>IFERROR(__xludf.DUMMYFUNCTION("""COMPUTED_VALUE"""),-1089.0)</f>
        <v>-1089</v>
      </c>
      <c r="F69" s="149"/>
    </row>
    <row r="70">
      <c r="A70" s="131"/>
      <c r="B70" s="131"/>
      <c r="C70" s="141" t="str">
        <f>IFERROR(__xludf.DUMMYFUNCTION("""COMPUTED_VALUE"""),"MONIQUE DECLOEDT")</f>
        <v>MONIQUE DECLOEDT</v>
      </c>
      <c r="D70" s="123" t="str">
        <f>IFERROR(__xludf.DUMMYFUNCTION("""COMPUTED_VALUE"""),"")</f>
        <v/>
      </c>
      <c r="E70" s="148">
        <f>IFERROR(__xludf.DUMMYFUNCTION("""COMPUTED_VALUE"""),-1080.0)</f>
        <v>-1080</v>
      </c>
      <c r="F70" s="149"/>
    </row>
    <row r="71">
      <c r="A71" s="131"/>
      <c r="B71" s="131"/>
      <c r="C71" s="141" t="str">
        <f>IFERROR(__xludf.DUMMYFUNCTION("""COMPUTED_VALUE"""),"PROXIMUS")</f>
        <v>PROXIMUS</v>
      </c>
      <c r="D71" s="123" t="str">
        <f>IFERROR(__xludf.DUMMYFUNCTION("""COMPUTED_VALUE"""),"")</f>
        <v/>
      </c>
      <c r="E71" s="148">
        <f>IFERROR(__xludf.DUMMYFUNCTION("""COMPUTED_VALUE"""),-655.3599999999999)</f>
        <v>-655.36</v>
      </c>
      <c r="F71" s="149"/>
    </row>
    <row r="72">
      <c r="A72" s="131"/>
      <c r="B72" s="131"/>
      <c r="C72" s="141"/>
      <c r="D72" s="123"/>
      <c r="E72" s="148"/>
      <c r="F72" s="149"/>
    </row>
    <row r="73">
      <c r="A73" s="131"/>
      <c r="B73" s="131"/>
      <c r="C73" s="145"/>
      <c r="D73" s="150"/>
      <c r="E73" s="151"/>
      <c r="F73" s="149"/>
    </row>
    <row r="74">
      <c r="A74" s="131"/>
      <c r="B74" s="131"/>
      <c r="C74" s="132"/>
      <c r="D74" s="133"/>
      <c r="E74" s="134"/>
      <c r="F74" s="132"/>
    </row>
    <row r="75">
      <c r="A75" s="131"/>
      <c r="B75" s="131"/>
      <c r="C75" s="132"/>
      <c r="D75" s="133"/>
      <c r="E75" s="134"/>
      <c r="F75" s="132"/>
    </row>
    <row r="76">
      <c r="A76" s="131"/>
      <c r="B76" s="131"/>
      <c r="C76" s="132"/>
      <c r="D76" s="133"/>
      <c r="E76" s="134"/>
      <c r="F76" s="132"/>
    </row>
    <row r="77">
      <c r="A77" s="122"/>
      <c r="B77" s="125"/>
      <c r="C77" s="152" t="s">
        <v>1040</v>
      </c>
      <c r="D77" s="127">
        <f>IFERROR(__xludf.DUMMYFUNCTION("SUM(FILTER(ARRAYFORMULA(VALUE(SUBSTITUTE(SUBSTITUTE(E214:E263,""€"",""""),"" "",""""))), ARRAYFORMULA(VALUE(SUBSTITUTE(SUBSTITUTE(E214:E263,""€"",""""),"" "",""""))) &gt; 0))
"),4215.78)</f>
        <v>4215.78</v>
      </c>
      <c r="E77" s="128">
        <f>IFERROR(__xludf.DUMMYFUNCTION("SUM(FILTER(ARRAYFORMULA(VALUE(SUBSTITUTE(SUBSTITUTE(E214:E263,""€"",""""),"" "",""""))), ARRAYFORMULA(VALUE(SUBSTITUTE(SUBSTITUTE(E214:E263,""€"",""""),"" "",""""))) &lt; 0))
"),-8236.16)</f>
        <v>-8236.16</v>
      </c>
      <c r="F77" s="125"/>
      <c r="G77" s="125"/>
    </row>
    <row r="78">
      <c r="A78" s="122"/>
      <c r="B78" s="125"/>
      <c r="C78" s="129"/>
      <c r="D78" s="129"/>
      <c r="E78" s="129"/>
      <c r="F78" s="125"/>
      <c r="G78" s="125"/>
    </row>
    <row r="79">
      <c r="A79" s="122"/>
      <c r="B79" s="125"/>
      <c r="C79" s="125"/>
      <c r="D79" s="125"/>
      <c r="E79" s="130">
        <f>sum(D77:E77)</f>
        <v>-4020.38</v>
      </c>
      <c r="F79" s="125"/>
      <c r="G79" s="125"/>
    </row>
    <row r="80">
      <c r="A80" s="122"/>
      <c r="B80" s="125"/>
      <c r="C80" s="125"/>
      <c r="D80" s="125"/>
      <c r="E80" s="129"/>
      <c r="F80" s="125"/>
      <c r="G80" s="125"/>
    </row>
    <row r="81">
      <c r="A81" s="131"/>
      <c r="B81" s="131"/>
      <c r="C81" s="132"/>
      <c r="D81" s="133"/>
      <c r="E81" s="134"/>
      <c r="F81" s="132"/>
    </row>
    <row r="82">
      <c r="A82" s="131"/>
      <c r="B82" s="131"/>
      <c r="C82" s="132"/>
      <c r="D82" s="133"/>
      <c r="E82" s="134"/>
      <c r="F82" s="132"/>
    </row>
    <row r="83">
      <c r="A83" s="131"/>
      <c r="B83" s="131"/>
      <c r="C83" s="135" t="s">
        <v>1037</v>
      </c>
      <c r="D83" s="136"/>
      <c r="E83" s="137"/>
      <c r="F83" s="124"/>
    </row>
    <row r="84">
      <c r="A84" s="131"/>
      <c r="B84" s="131"/>
      <c r="C84" s="138" t="str">
        <f>IFERROR(__xludf.DUMMYFUNCTION("ARRAY_CONSTRAIN(SORT(QUERY(FILTER({ARRAYFORMULA(UPPER(C202:C361)), ARRAYFORMULA(VALUE(SUBSTITUTE(SUBSTITUTE(E202:E361,""€"",""""),"" "","""")))}, ARRAYFORMULA(VALUE(SUBSTITUTE(SUBSTITUTE(E202:E361,""€"",""""),"" "",""""))) &gt; 0), ""select Col1, sum(Col2) w"&amp;"here Col1 is not null group by Col1 label sum(Col2) ''"", 0), 2, FALSE), 5, 2)
"),"STICHTING MOLLIE PAYMENTS")</f>
        <v>STICHTING MOLLIE PAYMENTS</v>
      </c>
      <c r="D84" s="139">
        <f>IFERROR(__xludf.DUMMYFUNCTION("""COMPUTED_VALUE"""),3270.7799999999997)</f>
        <v>3270.78</v>
      </c>
      <c r="E84" s="140"/>
      <c r="F84" s="123"/>
    </row>
    <row r="85">
      <c r="A85" s="131"/>
      <c r="B85" s="131"/>
      <c r="C85" s="141" t="str">
        <f>IFERROR(__xludf.DUMMYFUNCTION("""COMPUTED_VALUE"""),"CASH")</f>
        <v>CASH</v>
      </c>
      <c r="D85" s="142">
        <f>IFERROR(__xludf.DUMMYFUNCTION("""COMPUTED_VALUE"""),1600.0)</f>
        <v>1600</v>
      </c>
      <c r="E85" s="140"/>
      <c r="F85" s="123"/>
    </row>
    <row r="86">
      <c r="A86" s="131"/>
      <c r="B86" s="131"/>
      <c r="C86" s="141" t="str">
        <f>IFERROR(__xludf.DUMMYFUNCTION("""COMPUTED_VALUE"""),"MISTERFLY SAS SUCCURSALE BELGIQUE")</f>
        <v>MISTERFLY SAS SUCCURSALE BELGIQUE</v>
      </c>
      <c r="D86" s="142">
        <f>IFERROR(__xludf.DUMMYFUNCTION("""COMPUTED_VALUE"""),847.0)</f>
        <v>847</v>
      </c>
      <c r="E86" s="140"/>
      <c r="F86" s="123"/>
    </row>
    <row r="87">
      <c r="A87" s="131"/>
      <c r="B87" s="131"/>
      <c r="C87" s="141" t="str">
        <f>IFERROR(__xludf.DUMMYFUNCTION("""COMPUTED_VALUE"""),"DERNELLE GEOFFROY")</f>
        <v>DERNELLE GEOFFROY</v>
      </c>
      <c r="D87" s="142">
        <f>IFERROR(__xludf.DUMMYFUNCTION("""COMPUTED_VALUE"""),700.0)</f>
        <v>700</v>
      </c>
      <c r="E87" s="143"/>
      <c r="F87" s="144"/>
    </row>
    <row r="88">
      <c r="A88" s="131"/>
      <c r="B88" s="131"/>
      <c r="C88" s="145" t="str">
        <f>IFERROR(__xludf.DUMMYFUNCTION("""COMPUTED_VALUE"""),"ZONE POLICE FLEURUS-LES")</f>
        <v>ZONE POLICE FLEURUS-LES</v>
      </c>
      <c r="D88" s="146">
        <f>IFERROR(__xludf.DUMMYFUNCTION("""COMPUTED_VALUE"""),545.0)</f>
        <v>545</v>
      </c>
      <c r="E88" s="147"/>
      <c r="F88" s="144"/>
    </row>
    <row r="89">
      <c r="A89" s="131"/>
      <c r="B89" s="131"/>
      <c r="C89" s="141" t="str">
        <f>IFERROR(__xludf.DUMMYFUNCTION("ARRAYFORMULA({ INDEX(ARRAY_CONSTRAIN(SORT( QUERY( FILTER({ARRAYFORMULA(UPPER(C202:C361)), ARRAYFORMULA(VALUE(SUBSTITUTE(SUBSTITUTE(E202:E361,""€"",""""),"" "","""")))}, ARRAYFORMULA(VALUE(SUBSTITUTE(SUBSTITUTE(E202:E361,""€"",""""),"" "",""""))) &lt; 0), ""s"&amp;"elect Col1, sum(Col2) where Col1 is not null group by Col1 label sum(Col2) ''"", 0 ), 2, TRUE ), 8, 2), , 1), IF(SEQUENCE(8,1), """"), INDEX(ARRAY_CONSTRAIN(SORT( QUERY( FILTER({ARRAYFORMULA(UPPER(C202:C361)), ARRAYFORMULA(VALUE(SUBSTITUTE(SUBSTITUTE(E202"&amp;":E361,""€"",""""),"" "","""")))}, ARRAYFORMULA(VALUE(SUBSTITUTE(SUBSTITUTE(E202:E361,""€"",""""),"" "",""""))) &lt; 0), ""select Col1, sum(Col2) where Col1 is not null group by Col1 label sum(Col2) ''"", 0 ), 2, TRUE ), 8, 2), , 2) })
"),"PAYPAL EUROPE S,A,R,L, ET CIE S,C,A")</f>
        <v>PAYPAL EUROPE S,A,R,L, ET CIE S,C,A</v>
      </c>
      <c r="D89" s="123" t="str">
        <f>IFERROR(__xludf.DUMMYFUNCTION("""COMPUTED_VALUE"""),"")</f>
        <v/>
      </c>
      <c r="E89" s="148">
        <f>IFERROR(__xludf.DUMMYFUNCTION("""COMPUTED_VALUE"""),-3171.9)</f>
        <v>-3171.9</v>
      </c>
      <c r="F89" s="149"/>
    </row>
    <row r="90">
      <c r="A90" s="131"/>
      <c r="B90" s="131"/>
      <c r="C90" s="141" t="str">
        <f>IFERROR(__xludf.DUMMYFUNCTION("""COMPUTED_VALUE"""),"EYE-T CONSULTING SRL")</f>
        <v>EYE-T CONSULTING SRL</v>
      </c>
      <c r="D90" s="123" t="str">
        <f>IFERROR(__xludf.DUMMYFUNCTION("""COMPUTED_VALUE"""),"")</f>
        <v/>
      </c>
      <c r="E90" s="148">
        <f>IFERROR(__xludf.DUMMYFUNCTION("""COMPUTED_VALUE"""),-2459.83)</f>
        <v>-2459.83</v>
      </c>
      <c r="F90" s="149"/>
    </row>
    <row r="91">
      <c r="A91" s="131"/>
      <c r="B91" s="131"/>
      <c r="C91" s="141" t="str">
        <f>IFERROR(__xludf.DUMMYFUNCTION("""COMPUTED_VALUE"""),"DEDUORVA")</f>
        <v>DEDUORVA</v>
      </c>
      <c r="D91" s="123" t="str">
        <f>IFERROR(__xludf.DUMMYFUNCTION("""COMPUTED_VALUE"""),"")</f>
        <v/>
      </c>
      <c r="E91" s="148">
        <f>IFERROR(__xludf.DUMMYFUNCTION("""COMPUTED_VALUE"""),-2178.0)</f>
        <v>-2178</v>
      </c>
      <c r="F91" s="149"/>
    </row>
    <row r="92">
      <c r="A92" s="131"/>
      <c r="B92" s="131"/>
      <c r="C92" s="141" t="str">
        <f>IFERROR(__xludf.DUMMYFUNCTION("""COMPUTED_VALUE"""),"RECETTES TVA")</f>
        <v>RECETTES TVA</v>
      </c>
      <c r="D92" s="123" t="str">
        <f>IFERROR(__xludf.DUMMYFUNCTION("""COMPUTED_VALUE"""),"")</f>
        <v/>
      </c>
      <c r="E92" s="148">
        <f>IFERROR(__xludf.DUMMYFUNCTION("""COMPUTED_VALUE"""),-2101.88)</f>
        <v>-2101.88</v>
      </c>
      <c r="F92" s="149"/>
    </row>
    <row r="93">
      <c r="A93" s="131"/>
      <c r="B93" s="131"/>
      <c r="C93" s="141" t="str">
        <f>IFERROR(__xludf.DUMMYFUNCTION("""COMPUTED_VALUE"""),"M,B, TECH")</f>
        <v>M,B, TECH</v>
      </c>
      <c r="D93" s="123" t="str">
        <f>IFERROR(__xludf.DUMMYFUNCTION("""COMPUTED_VALUE"""),"")</f>
        <v/>
      </c>
      <c r="E93" s="148">
        <f>IFERROR(__xludf.DUMMYFUNCTION("""COMPUTED_VALUE"""),-1109.1399999999999)</f>
        <v>-1109.14</v>
      </c>
      <c r="F93" s="149"/>
    </row>
    <row r="94">
      <c r="A94" s="131"/>
      <c r="B94" s="131"/>
      <c r="C94" s="141" t="str">
        <f>IFERROR(__xludf.DUMMYFUNCTION("""COMPUTED_VALUE"""),"ECOGESTION")</f>
        <v>ECOGESTION</v>
      </c>
      <c r="D94" s="123" t="str">
        <f>IFERROR(__xludf.DUMMYFUNCTION("""COMPUTED_VALUE"""),"")</f>
        <v/>
      </c>
      <c r="E94" s="148">
        <f>IFERROR(__xludf.DUMMYFUNCTION("""COMPUTED_VALUE"""),-1089.0)</f>
        <v>-1089</v>
      </c>
      <c r="F94" s="149"/>
    </row>
    <row r="95">
      <c r="A95" s="131"/>
      <c r="B95" s="131"/>
      <c r="C95" s="141" t="str">
        <f>IFERROR(__xludf.DUMMYFUNCTION("""COMPUTED_VALUE"""),"MONIQUE DECLOEDT")</f>
        <v>MONIQUE DECLOEDT</v>
      </c>
      <c r="D95" s="123" t="str">
        <f>IFERROR(__xludf.DUMMYFUNCTION("""COMPUTED_VALUE"""),"")</f>
        <v/>
      </c>
      <c r="E95" s="148">
        <f>IFERROR(__xludf.DUMMYFUNCTION("""COMPUTED_VALUE"""),-840.0)</f>
        <v>-840</v>
      </c>
      <c r="F95" s="149"/>
    </row>
    <row r="96">
      <c r="A96" s="131"/>
      <c r="B96" s="131"/>
      <c r="C96" s="141" t="str">
        <f>IFERROR(__xludf.DUMMYFUNCTION("""COMPUTED_VALUE"""),"PROXIMUS ANDERLE BRUXELLES")</f>
        <v>PROXIMUS ANDERLE BRUXELLES</v>
      </c>
      <c r="D96" s="123" t="str">
        <f>IFERROR(__xludf.DUMMYFUNCTION("""COMPUTED_VALUE"""),"")</f>
        <v/>
      </c>
      <c r="E96" s="148">
        <f>IFERROR(__xludf.DUMMYFUNCTION("""COMPUTED_VALUE"""),-499.0)</f>
        <v>-499</v>
      </c>
      <c r="F96" s="149"/>
    </row>
    <row r="97">
      <c r="A97" s="131"/>
      <c r="B97" s="131"/>
      <c r="C97" s="141"/>
      <c r="D97" s="123"/>
      <c r="E97" s="148"/>
      <c r="F97" s="149"/>
    </row>
    <row r="98">
      <c r="A98" s="131"/>
      <c r="B98" s="131"/>
      <c r="C98" s="145"/>
      <c r="D98" s="150"/>
      <c r="E98" s="151"/>
      <c r="F98" s="149"/>
    </row>
    <row r="99">
      <c r="A99" s="131"/>
      <c r="B99" s="131"/>
      <c r="C99" s="132"/>
      <c r="D99" s="133"/>
      <c r="E99" s="134"/>
      <c r="F99" s="132"/>
      <c r="G99" s="132"/>
    </row>
    <row r="100">
      <c r="A100" s="131"/>
      <c r="B100" s="131"/>
      <c r="C100" s="132"/>
      <c r="D100" s="133"/>
      <c r="E100" s="134"/>
      <c r="F100" s="132"/>
      <c r="G100" s="132"/>
    </row>
    <row r="101">
      <c r="A101" s="122"/>
      <c r="B101" s="125"/>
      <c r="C101" s="152" t="s">
        <v>1041</v>
      </c>
      <c r="D101" s="127">
        <f>IFERROR(__xludf.DUMMYFUNCTION("SUM(FILTER(ARRAYFORMULA(VALUE(SUBSTITUTE(SUBSTITUTE(E264:E288,""€"",""""),"" "",""""))), ARRAYFORMULA(VALUE(SUBSTITUTE(SUBSTITUTE(E264:E288,""€"",""""),"" "",""""))) &gt; 0))
"),1697.0)</f>
        <v>1697</v>
      </c>
      <c r="E101" s="128">
        <f>IFERROR(__xludf.DUMMYFUNCTION("SUM(FILTER(ARRAYFORMULA(VALUE(SUBSTITUTE(SUBSTITUTE(E264:E288,""€"",""""),"" "",""""))), ARRAYFORMULA(VALUE(SUBSTITUTE(SUBSTITUTE(E264:E288,""€"",""""),"" "",""""))) &lt; 0))
"),-7212.74)</f>
        <v>-7212.74</v>
      </c>
      <c r="F101" s="125"/>
      <c r="G101" s="125"/>
    </row>
    <row r="102">
      <c r="A102" s="122"/>
      <c r="B102" s="125"/>
      <c r="C102" s="129"/>
      <c r="D102" s="129"/>
      <c r="E102" s="129"/>
      <c r="F102" s="125"/>
      <c r="G102" s="125"/>
    </row>
    <row r="103">
      <c r="A103" s="122"/>
      <c r="B103" s="125"/>
      <c r="C103" s="125"/>
      <c r="D103" s="125"/>
      <c r="E103" s="130">
        <f>sum(D101:E101)</f>
        <v>-5515.74</v>
      </c>
      <c r="F103" s="125"/>
      <c r="G103" s="125"/>
    </row>
    <row r="104">
      <c r="A104" s="122"/>
      <c r="B104" s="125"/>
      <c r="C104" s="125"/>
      <c r="D104" s="125"/>
      <c r="E104" s="129"/>
      <c r="F104" s="125"/>
      <c r="G104" s="125"/>
    </row>
    <row r="105">
      <c r="A105" s="131"/>
      <c r="B105" s="131"/>
      <c r="C105" s="132"/>
      <c r="D105" s="133"/>
      <c r="E105" s="134"/>
      <c r="F105" s="132"/>
    </row>
    <row r="106">
      <c r="A106" s="131"/>
      <c r="B106" s="131"/>
      <c r="C106" s="132"/>
      <c r="D106" s="133"/>
      <c r="E106" s="134"/>
      <c r="F106" s="132"/>
    </row>
    <row r="107">
      <c r="A107" s="131"/>
      <c r="B107" s="131"/>
      <c r="C107" s="135" t="s">
        <v>1037</v>
      </c>
      <c r="D107" s="136"/>
      <c r="E107" s="137"/>
      <c r="F107" s="124"/>
    </row>
    <row r="108">
      <c r="A108" s="131"/>
      <c r="B108" s="131"/>
      <c r="C108" s="138" t="str">
        <f>IFERROR(__xludf.DUMMYFUNCTION("ARRAY_CONSTRAIN(SORT(QUERY(FILTER({ARRAYFORMULA(UPPER(C264:C288)), ARRAYFORMULA(VALUE(SUBSTITUTE(SUBSTITUTE(E264:E288,""€"",""""),"" "","""")))}, ARRAYFORMULA(VALUE(SUBSTITUTE(SUBSTITUTE(E264:E288,""€"",""""),"" "",""""))) &gt; 0), ""select Col1, sum(Col2) w"&amp;"here Col1 is not null group by Col1 label sum(Col2) ''"", 0), 2, FALSE), 5, 2)
"),"MISTERFLY SAS SUCCURSALE BELGIQUE")</f>
        <v>MISTERFLY SAS SUCCURSALE BELGIQUE</v>
      </c>
      <c r="D108" s="139">
        <f>IFERROR(__xludf.DUMMYFUNCTION("""COMPUTED_VALUE"""),847.0)</f>
        <v>847</v>
      </c>
      <c r="E108" s="140"/>
      <c r="F108" s="123"/>
    </row>
    <row r="109">
      <c r="A109" s="131"/>
      <c r="B109" s="131"/>
      <c r="C109" s="141" t="str">
        <f>IFERROR(__xludf.DUMMYFUNCTION("""COMPUTED_VALUE"""),"DERNELLE GEOFFROY")</f>
        <v>DERNELLE GEOFFROY</v>
      </c>
      <c r="D109" s="142">
        <f>IFERROR(__xludf.DUMMYFUNCTION("""COMPUTED_VALUE"""),700.0)</f>
        <v>700</v>
      </c>
      <c r="E109" s="140"/>
      <c r="F109" s="123"/>
    </row>
    <row r="110">
      <c r="A110" s="131"/>
      <c r="B110" s="131"/>
      <c r="C110" s="141" t="str">
        <f>IFERROR(__xludf.DUMMYFUNCTION("""COMPUTED_VALUE"""),"ANNICK ALLARD")</f>
        <v>ANNICK ALLARD</v>
      </c>
      <c r="D110" s="142">
        <f>IFERROR(__xludf.DUMMYFUNCTION("""COMPUTED_VALUE"""),150.0)</f>
        <v>150</v>
      </c>
      <c r="E110" s="140"/>
      <c r="F110" s="123"/>
    </row>
    <row r="111">
      <c r="A111" s="131"/>
      <c r="B111" s="131"/>
      <c r="C111" s="141"/>
      <c r="D111" s="142"/>
      <c r="E111" s="143"/>
      <c r="F111" s="144"/>
    </row>
    <row r="112">
      <c r="A112" s="131"/>
      <c r="B112" s="131"/>
      <c r="C112" s="145"/>
      <c r="D112" s="146"/>
      <c r="E112" s="147"/>
      <c r="F112" s="144"/>
    </row>
    <row r="113">
      <c r="A113" s="131"/>
      <c r="B113" s="131"/>
      <c r="C113" s="141" t="str">
        <f>IFERROR(__xludf.DUMMYFUNCTION("ARRAYFORMULA({ INDEX(ARRAY_CONSTRAIN(SORT( QUERY( FILTER({ARRAYFORMULA(UPPER(C264:C288)), ARRAYFORMULA(VALUE(SUBSTITUTE(SUBSTITUTE(E264:E288,""€"",""""),"" "","""")))}, ARRAYFORMULA(VALUE(SUBSTITUTE(SUBSTITUTE(E264:E288,""€"",""""),"" "",""""))) &lt; 0), ""s"&amp;"elect Col1, sum(Col2) where Col1 is not null group by Col1 label sum(Col2) ''"", 0 ), 2, TRUE ), 8, 2), , 1), IF(SEQUENCE(8,1), """"), INDEX(ARRAY_CONSTRAIN(SORT( QUERY( FILTER({ARRAYFORMULA(UPPER(C264:C288)), ARRAYFORMULA(VALUE(SUBSTITUTE(SUBSTITUTE(E264"&amp;":E288,""€"",""""),"" "","""")))}, ARRAYFORMULA(VALUE(SUBSTITUTE(SUBSTITUTE(E264:E288,""€"",""""),"" "",""""))) &lt; 0), ""select Col1, sum(Col2) where Col1 is not null group by Col1 label sum(Col2) ''"", 0 ), 2, TRUE ), 8, 2), , 2) })
"),"DEDUORVA")</f>
        <v>DEDUORVA</v>
      </c>
      <c r="D113" s="123" t="str">
        <f>IFERROR(__xludf.DUMMYFUNCTION("""COMPUTED_VALUE"""),"")</f>
        <v/>
      </c>
      <c r="E113" s="148">
        <f>IFERROR(__xludf.DUMMYFUNCTION("""COMPUTED_VALUE"""),-2178.0)</f>
        <v>-2178</v>
      </c>
      <c r="F113" s="149"/>
    </row>
    <row r="114">
      <c r="A114" s="131"/>
      <c r="B114" s="131"/>
      <c r="C114" s="141" t="str">
        <f>IFERROR(__xludf.DUMMYFUNCTION("""COMPUTED_VALUE"""),"RECETTES TVA")</f>
        <v>RECETTES TVA</v>
      </c>
      <c r="D114" s="123" t="str">
        <f>IFERROR(__xludf.DUMMYFUNCTION("""COMPUTED_VALUE"""),"")</f>
        <v/>
      </c>
      <c r="E114" s="148">
        <f>IFERROR(__xludf.DUMMYFUNCTION("""COMPUTED_VALUE"""),-1668.5700000000002)</f>
        <v>-1668.57</v>
      </c>
      <c r="F114" s="149"/>
    </row>
    <row r="115">
      <c r="A115" s="131"/>
      <c r="B115" s="131"/>
      <c r="C115" s="141" t="str">
        <f>IFERROR(__xludf.DUMMYFUNCTION("""COMPUTED_VALUE"""),"EYE-T CONSULTING SRL")</f>
        <v>EYE-T CONSULTING SRL</v>
      </c>
      <c r="D115" s="123" t="str">
        <f>IFERROR(__xludf.DUMMYFUNCTION("""COMPUTED_VALUE"""),"")</f>
        <v/>
      </c>
      <c r="E115" s="148">
        <f>IFERROR(__xludf.DUMMYFUNCTION("""COMPUTED_VALUE"""),-1326.83)</f>
        <v>-1326.83</v>
      </c>
      <c r="F115" s="149"/>
    </row>
    <row r="116">
      <c r="A116" s="131"/>
      <c r="B116" s="131"/>
      <c r="C116" s="141" t="str">
        <f>IFERROR(__xludf.DUMMYFUNCTION("""COMPUTED_VALUE"""),"PAYPAL EUROPE S,A,R,L, ET CIE S,C,A")</f>
        <v>PAYPAL EUROPE S,A,R,L, ET CIE S,C,A</v>
      </c>
      <c r="D116" s="123" t="str">
        <f>IFERROR(__xludf.DUMMYFUNCTION("""COMPUTED_VALUE"""),"")</f>
        <v/>
      </c>
      <c r="E116" s="148">
        <f>IFERROR(__xludf.DUMMYFUNCTION("""COMPUTED_VALUE"""),-926.89)</f>
        <v>-926.89</v>
      </c>
      <c r="F116" s="149"/>
    </row>
    <row r="117">
      <c r="A117" s="131"/>
      <c r="B117" s="131"/>
      <c r="C117" s="141" t="str">
        <f>IFERROR(__xludf.DUMMYFUNCTION("""COMPUTED_VALUE"""),"L8P SCHELLE")</f>
        <v>L8P SCHELLE</v>
      </c>
      <c r="D117" s="123" t="str">
        <f>IFERROR(__xludf.DUMMYFUNCTION("""COMPUTED_VALUE"""),"")</f>
        <v/>
      </c>
      <c r="E117" s="148">
        <f>IFERROR(__xludf.DUMMYFUNCTION("""COMPUTED_VALUE"""),-349.0)</f>
        <v>-349</v>
      </c>
      <c r="F117" s="149"/>
    </row>
    <row r="118">
      <c r="A118" s="131"/>
      <c r="B118" s="131"/>
      <c r="C118" s="141" t="str">
        <f>IFERROR(__xludf.DUMMYFUNCTION("""COMPUTED_VALUE"""),"MONIQUE DECLOEDT")</f>
        <v>MONIQUE DECLOEDT</v>
      </c>
      <c r="D118" s="123" t="str">
        <f>IFERROR(__xludf.DUMMYFUNCTION("""COMPUTED_VALUE"""),"")</f>
        <v/>
      </c>
      <c r="E118" s="148">
        <f>IFERROR(__xludf.DUMMYFUNCTION("""COMPUTED_VALUE"""),-240.0)</f>
        <v>-240</v>
      </c>
      <c r="F118" s="149"/>
    </row>
    <row r="119">
      <c r="A119" s="131"/>
      <c r="B119" s="131"/>
      <c r="C119" s="141" t="str">
        <f>IFERROR(__xludf.DUMMYFUNCTION("""COMPUTED_VALUE"""),"VAN WEZEL AUTOPA TIENEN")</f>
        <v>VAN WEZEL AUTOPA TIENEN</v>
      </c>
      <c r="D119" s="123" t="str">
        <f>IFERROR(__xludf.DUMMYFUNCTION("""COMPUTED_VALUE"""),"")</f>
        <v/>
      </c>
      <c r="E119" s="148">
        <f>IFERROR(__xludf.DUMMYFUNCTION("""COMPUTED_VALUE"""),-221.35000000000002)</f>
        <v>-221.35</v>
      </c>
      <c r="F119" s="149"/>
    </row>
    <row r="120">
      <c r="A120" s="131"/>
      <c r="B120" s="131"/>
      <c r="C120" s="141" t="str">
        <f>IFERROR(__xludf.DUMMYFUNCTION("""COMPUTED_VALUE"""),"PROXIMUS")</f>
        <v>PROXIMUS</v>
      </c>
      <c r="D120" s="123" t="str">
        <f>IFERROR(__xludf.DUMMYFUNCTION("""COMPUTED_VALUE"""),"")</f>
        <v/>
      </c>
      <c r="E120" s="148">
        <f>IFERROR(__xludf.DUMMYFUNCTION("""COMPUTED_VALUE"""),-116.92)</f>
        <v>-116.92</v>
      </c>
      <c r="F120" s="149"/>
    </row>
    <row r="121">
      <c r="A121" s="131"/>
      <c r="B121" s="131"/>
      <c r="C121" s="141"/>
      <c r="D121" s="123"/>
      <c r="E121" s="148"/>
      <c r="F121" s="149"/>
    </row>
    <row r="122">
      <c r="A122" s="131"/>
      <c r="B122" s="131"/>
      <c r="C122" s="145"/>
      <c r="D122" s="150"/>
      <c r="E122" s="151"/>
      <c r="F122" s="149"/>
    </row>
    <row r="123">
      <c r="A123" s="131"/>
      <c r="B123" s="131"/>
      <c r="C123" s="132"/>
      <c r="D123" s="133"/>
      <c r="E123" s="134"/>
      <c r="F123" s="132"/>
      <c r="G123" s="132"/>
    </row>
    <row r="124">
      <c r="A124" s="131"/>
      <c r="B124" s="131"/>
      <c r="C124" s="132"/>
      <c r="D124" s="133"/>
      <c r="E124" s="134"/>
      <c r="F124" s="132"/>
      <c r="G124" s="132"/>
    </row>
    <row r="125">
      <c r="A125" s="131"/>
      <c r="B125" s="131"/>
      <c r="C125" s="132"/>
      <c r="D125" s="133"/>
      <c r="E125" s="134"/>
      <c r="F125" s="132"/>
      <c r="G125" s="132"/>
    </row>
    <row r="126">
      <c r="A126" s="154"/>
      <c r="B126" s="154" t="s">
        <v>1042</v>
      </c>
      <c r="C126" s="154" t="s">
        <v>1043</v>
      </c>
      <c r="D126" s="154"/>
      <c r="E126" s="155" t="s">
        <v>1027</v>
      </c>
      <c r="F126" s="155" t="s">
        <v>1044</v>
      </c>
      <c r="G126" s="155"/>
    </row>
    <row r="127">
      <c r="A127" s="131"/>
      <c r="B127" s="131"/>
      <c r="C127" s="132"/>
      <c r="D127" s="133"/>
      <c r="E127" s="134"/>
      <c r="F127" s="132"/>
      <c r="G127" s="132"/>
    </row>
    <row r="128">
      <c r="A128" s="131"/>
      <c r="B128" s="131">
        <v>45982.0</v>
      </c>
      <c r="C128" s="132" t="s">
        <v>1045</v>
      </c>
      <c r="D128" s="133"/>
      <c r="E128" s="134">
        <v>-142.86</v>
      </c>
      <c r="F128" s="132" t="b">
        <v>0</v>
      </c>
      <c r="G128" s="132"/>
    </row>
    <row r="129">
      <c r="A129" s="131"/>
      <c r="B129" s="131">
        <v>45982.0</v>
      </c>
      <c r="C129" s="132" t="s">
        <v>1046</v>
      </c>
      <c r="D129" s="133"/>
      <c r="E129" s="134">
        <v>-177.06</v>
      </c>
      <c r="F129" s="132" t="b">
        <v>0</v>
      </c>
      <c r="G129" s="132"/>
    </row>
    <row r="130">
      <c r="A130" s="131"/>
      <c r="B130" s="131">
        <v>45980.0</v>
      </c>
      <c r="C130" s="156" t="s">
        <v>1047</v>
      </c>
      <c r="D130" s="133"/>
      <c r="E130" s="134">
        <v>-10.0</v>
      </c>
      <c r="F130" s="132" t="b">
        <v>0</v>
      </c>
      <c r="G130" s="132"/>
    </row>
    <row r="131">
      <c r="A131" s="131"/>
      <c r="B131" s="131">
        <v>45979.0</v>
      </c>
      <c r="C131" s="132" t="s">
        <v>1045</v>
      </c>
      <c r="D131" s="133"/>
      <c r="E131" s="134">
        <v>-200.0</v>
      </c>
      <c r="F131" s="132" t="b">
        <v>0</v>
      </c>
      <c r="G131" s="132"/>
    </row>
    <row r="132">
      <c r="A132" s="131"/>
      <c r="B132" s="131">
        <v>45975.0</v>
      </c>
      <c r="C132" s="157" t="s">
        <v>1048</v>
      </c>
      <c r="D132" s="133"/>
      <c r="E132" s="134">
        <v>-4.0</v>
      </c>
      <c r="F132" s="132" t="b">
        <v>0</v>
      </c>
      <c r="G132" s="132"/>
    </row>
    <row r="133">
      <c r="A133" s="131"/>
      <c r="B133" s="131">
        <v>45975.0</v>
      </c>
      <c r="C133" s="132" t="s">
        <v>1049</v>
      </c>
      <c r="D133" s="133"/>
      <c r="E133" s="134">
        <v>-223.85</v>
      </c>
      <c r="F133" s="132" t="b">
        <v>0</v>
      </c>
      <c r="G133" s="132"/>
    </row>
    <row r="134">
      <c r="A134" s="131"/>
      <c r="B134" s="131">
        <v>45975.0</v>
      </c>
      <c r="C134" s="132" t="s">
        <v>1050</v>
      </c>
      <c r="D134" s="133"/>
      <c r="E134" s="134">
        <v>4.0</v>
      </c>
      <c r="F134" s="132" t="b">
        <v>0</v>
      </c>
      <c r="G134" s="132"/>
    </row>
    <row r="135">
      <c r="A135" s="131"/>
      <c r="B135" s="131">
        <v>45971.0</v>
      </c>
      <c r="C135" s="156" t="s">
        <v>1051</v>
      </c>
      <c r="D135" s="133"/>
      <c r="E135" s="134">
        <v>-17.0</v>
      </c>
      <c r="F135" s="132" t="b">
        <v>0</v>
      </c>
      <c r="G135" s="132"/>
    </row>
    <row r="136">
      <c r="A136" s="131"/>
      <c r="B136" s="131">
        <v>45972.0</v>
      </c>
      <c r="C136" s="132" t="s">
        <v>1052</v>
      </c>
      <c r="D136" s="133"/>
      <c r="E136" s="134">
        <v>-179.24</v>
      </c>
      <c r="F136" s="132" t="b">
        <v>0</v>
      </c>
      <c r="G136" s="132"/>
    </row>
    <row r="137">
      <c r="A137" s="131"/>
      <c r="B137" s="131">
        <v>45972.0</v>
      </c>
      <c r="C137" s="132" t="s">
        <v>1045</v>
      </c>
      <c r="D137" s="133"/>
      <c r="E137" s="134">
        <v>-200.0</v>
      </c>
      <c r="F137" s="132" t="b">
        <v>0</v>
      </c>
      <c r="G137" s="132"/>
    </row>
    <row r="138">
      <c r="A138" s="158"/>
      <c r="B138" s="158">
        <v>45965.0</v>
      </c>
      <c r="C138" s="132" t="s">
        <v>1045</v>
      </c>
      <c r="D138" s="133"/>
      <c r="E138" s="134">
        <v>-200.0</v>
      </c>
      <c r="F138" s="132" t="b">
        <v>0</v>
      </c>
      <c r="G138" s="132"/>
    </row>
    <row r="139">
      <c r="A139" s="158"/>
      <c r="B139" s="158">
        <v>45965.0</v>
      </c>
      <c r="C139" s="132" t="s">
        <v>1053</v>
      </c>
      <c r="D139" s="133"/>
      <c r="E139" s="134">
        <v>726.0</v>
      </c>
      <c r="F139" s="132" t="b">
        <v>0</v>
      </c>
      <c r="G139" s="132"/>
    </row>
    <row r="140">
      <c r="A140" s="158"/>
      <c r="B140" s="158">
        <v>45964.0</v>
      </c>
      <c r="C140" s="132" t="s">
        <v>1054</v>
      </c>
      <c r="D140" s="133"/>
      <c r="E140" s="134">
        <v>-120.0</v>
      </c>
      <c r="F140" s="132" t="b">
        <v>0</v>
      </c>
      <c r="G140" s="132"/>
    </row>
    <row r="141">
      <c r="A141" s="131"/>
      <c r="B141" s="131">
        <v>45960.0</v>
      </c>
      <c r="C141" s="132" t="s">
        <v>1055</v>
      </c>
      <c r="D141" s="133"/>
      <c r="E141" s="134">
        <v>-100.0</v>
      </c>
      <c r="F141" s="132" t="b">
        <v>0</v>
      </c>
      <c r="G141" s="132"/>
    </row>
    <row r="142">
      <c r="A142" s="131"/>
      <c r="B142" s="131">
        <v>45958.0</v>
      </c>
      <c r="C142" s="132" t="s">
        <v>1056</v>
      </c>
      <c r="D142" s="133"/>
      <c r="E142" s="134">
        <v>-19.19</v>
      </c>
      <c r="F142" s="132" t="b">
        <v>0</v>
      </c>
      <c r="G142" s="132"/>
    </row>
    <row r="143">
      <c r="A143" s="131"/>
      <c r="B143" s="131">
        <v>45958.0</v>
      </c>
      <c r="C143" s="156" t="s">
        <v>1057</v>
      </c>
      <c r="D143" s="133"/>
      <c r="E143" s="134">
        <v>-126.93</v>
      </c>
      <c r="F143" s="132" t="b">
        <v>0</v>
      </c>
      <c r="G143" s="132"/>
    </row>
    <row r="144">
      <c r="A144" s="131"/>
      <c r="B144" s="131">
        <v>45958.0</v>
      </c>
      <c r="C144" s="132" t="s">
        <v>1045</v>
      </c>
      <c r="D144" s="133"/>
      <c r="E144" s="134">
        <v>-200.0</v>
      </c>
      <c r="F144" s="132" t="b">
        <v>0</v>
      </c>
      <c r="G144" s="132"/>
    </row>
    <row r="145">
      <c r="A145" s="131"/>
      <c r="B145" s="131">
        <v>45958.0</v>
      </c>
      <c r="C145" s="132" t="s">
        <v>1058</v>
      </c>
      <c r="D145" s="133"/>
      <c r="E145" s="134">
        <v>363.0</v>
      </c>
      <c r="F145" s="132" t="b">
        <v>0</v>
      </c>
      <c r="G145" s="132"/>
    </row>
    <row r="146">
      <c r="A146" s="131"/>
      <c r="B146" s="131">
        <v>45957.0</v>
      </c>
      <c r="C146" s="132" t="s">
        <v>1059</v>
      </c>
      <c r="D146" s="133"/>
      <c r="E146" s="134">
        <v>-90.54</v>
      </c>
      <c r="F146" s="132" t="b">
        <v>0</v>
      </c>
      <c r="G146" s="132"/>
    </row>
    <row r="147">
      <c r="A147" s="131"/>
      <c r="B147" s="131">
        <v>45957.0</v>
      </c>
      <c r="C147" s="132" t="s">
        <v>1060</v>
      </c>
      <c r="D147" s="133"/>
      <c r="E147" s="134">
        <v>-157.21</v>
      </c>
      <c r="F147" s="132" t="b">
        <v>0</v>
      </c>
      <c r="G147" s="132"/>
    </row>
    <row r="148">
      <c r="A148" s="131"/>
      <c r="B148" s="131">
        <v>45957.0</v>
      </c>
      <c r="C148" s="132" t="s">
        <v>1061</v>
      </c>
      <c r="D148" s="133"/>
      <c r="E148" s="134">
        <v>150.0</v>
      </c>
      <c r="F148" s="132" t="b">
        <v>0</v>
      </c>
      <c r="G148" s="132"/>
    </row>
    <row r="149">
      <c r="A149" s="131"/>
      <c r="B149" s="131">
        <v>45952.0</v>
      </c>
      <c r="C149" s="156" t="s">
        <v>1062</v>
      </c>
      <c r="D149" s="133"/>
      <c r="E149" s="134">
        <v>-18.21</v>
      </c>
      <c r="F149" s="132" t="b">
        <v>0</v>
      </c>
      <c r="G149" s="132"/>
    </row>
    <row r="150">
      <c r="A150" s="131"/>
      <c r="B150" s="131">
        <v>45951.0</v>
      </c>
      <c r="C150" s="132" t="s">
        <v>1063</v>
      </c>
      <c r="D150" s="133"/>
      <c r="E150" s="134">
        <v>358.2</v>
      </c>
      <c r="F150" s="132" t="b">
        <v>0</v>
      </c>
      <c r="G150" s="132"/>
    </row>
    <row r="151">
      <c r="A151" s="131"/>
      <c r="B151" s="131">
        <v>45951.0</v>
      </c>
      <c r="C151" s="132" t="s">
        <v>1045</v>
      </c>
      <c r="D151" s="133"/>
      <c r="E151" s="134">
        <v>-103.26</v>
      </c>
      <c r="F151" s="132" t="b">
        <v>0</v>
      </c>
      <c r="G151" s="132"/>
    </row>
    <row r="152">
      <c r="A152" s="131"/>
      <c r="B152" s="131">
        <v>45951.0</v>
      </c>
      <c r="C152" s="132" t="s">
        <v>1045</v>
      </c>
      <c r="D152" s="133"/>
      <c r="E152" s="134">
        <v>-200.0</v>
      </c>
      <c r="F152" s="132" t="b">
        <v>0</v>
      </c>
      <c r="G152" s="132"/>
    </row>
    <row r="153">
      <c r="A153" s="131"/>
      <c r="B153" s="131">
        <v>45948.0</v>
      </c>
      <c r="C153" s="157" t="s">
        <v>1064</v>
      </c>
      <c r="D153" s="133"/>
      <c r="E153" s="134">
        <v>-75.35</v>
      </c>
      <c r="F153" s="132" t="b">
        <v>0</v>
      </c>
      <c r="G153" s="132"/>
    </row>
    <row r="154">
      <c r="A154" s="131"/>
      <c r="B154" s="131">
        <v>45946.0</v>
      </c>
      <c r="C154" s="157" t="s">
        <v>1065</v>
      </c>
      <c r="D154" s="133"/>
      <c r="E154" s="134">
        <v>-18.12</v>
      </c>
      <c r="F154" s="132" t="b">
        <v>0</v>
      </c>
      <c r="G154" s="132"/>
    </row>
    <row r="155">
      <c r="A155" s="131"/>
      <c r="B155" s="131">
        <v>45947.0</v>
      </c>
      <c r="C155" s="132" t="s">
        <v>1066</v>
      </c>
      <c r="D155" s="133"/>
      <c r="E155" s="134">
        <v>-135.52</v>
      </c>
      <c r="F155" s="132" t="b">
        <v>0</v>
      </c>
      <c r="G155" s="132"/>
    </row>
    <row r="156">
      <c r="A156" s="131"/>
      <c r="B156" s="131">
        <v>45945.0</v>
      </c>
      <c r="C156" s="132" t="s">
        <v>1045</v>
      </c>
      <c r="D156" s="133"/>
      <c r="E156" s="134">
        <v>-200.0</v>
      </c>
      <c r="F156" s="132" t="b">
        <v>0</v>
      </c>
      <c r="G156" s="132"/>
    </row>
    <row r="157">
      <c r="A157" s="131"/>
      <c r="B157" s="131">
        <v>45943.0</v>
      </c>
      <c r="C157" s="132" t="s">
        <v>1067</v>
      </c>
      <c r="D157" s="133"/>
      <c r="E157" s="134">
        <v>-1089.0</v>
      </c>
      <c r="F157" s="132" t="b">
        <v>0</v>
      </c>
      <c r="G157" s="132"/>
    </row>
    <row r="158">
      <c r="A158" s="131"/>
      <c r="B158" s="131">
        <v>45940.0</v>
      </c>
      <c r="C158" s="159" t="s">
        <v>1051</v>
      </c>
      <c r="D158" s="133"/>
      <c r="E158" s="134">
        <v>-17.0</v>
      </c>
      <c r="F158" s="132" t="b">
        <v>0</v>
      </c>
      <c r="G158" s="132"/>
    </row>
    <row r="159">
      <c r="A159" s="131"/>
      <c r="B159" s="131">
        <v>45941.0</v>
      </c>
      <c r="C159" s="132" t="s">
        <v>1068</v>
      </c>
      <c r="D159" s="133"/>
      <c r="E159" s="134">
        <v>-203.76</v>
      </c>
      <c r="F159" s="132" t="b">
        <v>0</v>
      </c>
      <c r="G159" s="132"/>
    </row>
    <row r="160">
      <c r="A160" s="131"/>
      <c r="B160" s="131">
        <v>45941.0</v>
      </c>
      <c r="C160" s="132" t="s">
        <v>1069</v>
      </c>
      <c r="D160" s="133"/>
      <c r="E160" s="134">
        <v>786.5</v>
      </c>
      <c r="F160" s="132" t="b">
        <v>0</v>
      </c>
      <c r="G160" s="132"/>
    </row>
    <row r="161">
      <c r="A161" s="131"/>
      <c r="B161" s="131">
        <v>45940.0</v>
      </c>
      <c r="C161" s="132" t="s">
        <v>1052</v>
      </c>
      <c r="D161" s="133"/>
      <c r="E161" s="134">
        <v>-67.17</v>
      </c>
      <c r="F161" s="132" t="b">
        <v>0</v>
      </c>
      <c r="G161" s="132"/>
    </row>
    <row r="162">
      <c r="A162" s="158"/>
      <c r="B162" s="158">
        <v>45931.0</v>
      </c>
      <c r="C162" s="159" t="s">
        <v>1070</v>
      </c>
      <c r="D162" s="133"/>
      <c r="E162" s="134">
        <v>-35.0</v>
      </c>
      <c r="F162" s="132" t="b">
        <v>0</v>
      </c>
      <c r="G162" s="132"/>
    </row>
    <row r="163">
      <c r="A163" s="158"/>
      <c r="B163" s="158">
        <v>45937.0</v>
      </c>
      <c r="C163" s="132" t="s">
        <v>1045</v>
      </c>
      <c r="D163" s="133"/>
      <c r="E163" s="134">
        <v>-200.0</v>
      </c>
      <c r="F163" s="132" t="b">
        <v>0</v>
      </c>
      <c r="G163" s="132"/>
    </row>
    <row r="164">
      <c r="A164" s="158"/>
      <c r="B164" s="158">
        <v>45932.0</v>
      </c>
      <c r="C164" s="132" t="s">
        <v>1054</v>
      </c>
      <c r="D164" s="133"/>
      <c r="E164" s="134">
        <v>-120.0</v>
      </c>
      <c r="F164" s="132" t="b">
        <v>0</v>
      </c>
      <c r="G164" s="132"/>
    </row>
    <row r="165">
      <c r="A165" s="158"/>
      <c r="B165" s="158">
        <v>45931.0</v>
      </c>
      <c r="C165" s="159" t="s">
        <v>1071</v>
      </c>
      <c r="D165" s="133"/>
      <c r="E165" s="134">
        <v>-740.04</v>
      </c>
      <c r="F165" s="132" t="b">
        <v>0</v>
      </c>
      <c r="G165" s="132"/>
    </row>
    <row r="166">
      <c r="A166" s="158"/>
      <c r="B166" s="160"/>
      <c r="C166" s="161"/>
      <c r="D166" s="162"/>
      <c r="E166" s="163"/>
      <c r="F166" s="164"/>
      <c r="G166" s="132"/>
    </row>
    <row r="167">
      <c r="A167" s="158"/>
      <c r="B167" s="158">
        <v>45929.0</v>
      </c>
      <c r="C167" s="159" t="s">
        <v>1072</v>
      </c>
      <c r="D167" s="133"/>
      <c r="E167" s="134">
        <v>-168.47</v>
      </c>
      <c r="F167" s="132" t="b">
        <v>1</v>
      </c>
      <c r="G167" s="132"/>
    </row>
    <row r="168">
      <c r="A168" s="158"/>
      <c r="B168" s="158">
        <v>45930.0</v>
      </c>
      <c r="C168" s="132" t="s">
        <v>1045</v>
      </c>
      <c r="D168" s="133"/>
      <c r="E168" s="134">
        <v>-200.0</v>
      </c>
      <c r="F168" s="132" t="b">
        <v>1</v>
      </c>
      <c r="G168" s="132"/>
    </row>
    <row r="169">
      <c r="A169" s="158"/>
      <c r="B169" s="158">
        <v>45926.0</v>
      </c>
      <c r="C169" s="132" t="s">
        <v>1060</v>
      </c>
      <c r="D169" s="133"/>
      <c r="E169" s="134">
        <v>-157.88</v>
      </c>
      <c r="F169" s="132" t="b">
        <v>1</v>
      </c>
      <c r="G169" s="132"/>
    </row>
    <row r="170">
      <c r="A170" s="158"/>
      <c r="B170" s="158">
        <v>45925.0</v>
      </c>
      <c r="C170" s="132" t="s">
        <v>1059</v>
      </c>
      <c r="D170" s="133"/>
      <c r="E170" s="134">
        <v>-157.52</v>
      </c>
      <c r="F170" s="132" t="b">
        <v>1</v>
      </c>
      <c r="G170" s="132"/>
    </row>
    <row r="171">
      <c r="A171" s="158"/>
      <c r="B171" s="158">
        <v>45925.0</v>
      </c>
      <c r="C171" s="132" t="s">
        <v>1073</v>
      </c>
      <c r="D171" s="133"/>
      <c r="E171" s="134">
        <v>150.0</v>
      </c>
      <c r="F171" s="132" t="b">
        <v>1</v>
      </c>
      <c r="G171" s="132"/>
    </row>
    <row r="172">
      <c r="A172" s="158"/>
      <c r="B172" s="158">
        <v>45922.0</v>
      </c>
      <c r="C172" s="159" t="s">
        <v>1062</v>
      </c>
      <c r="D172" s="133"/>
      <c r="E172" s="134">
        <v>-17.99</v>
      </c>
      <c r="F172" s="132" t="b">
        <v>1</v>
      </c>
      <c r="G172" s="132"/>
    </row>
    <row r="173">
      <c r="A173" s="158"/>
      <c r="B173" s="158">
        <v>45923.0</v>
      </c>
      <c r="C173" s="132" t="s">
        <v>1045</v>
      </c>
      <c r="D173" s="133"/>
      <c r="E173" s="134">
        <v>-132.35</v>
      </c>
      <c r="F173" s="132" t="b">
        <v>1</v>
      </c>
      <c r="G173" s="132"/>
    </row>
    <row r="174">
      <c r="A174" s="158"/>
      <c r="B174" s="158">
        <v>45923.0</v>
      </c>
      <c r="C174" s="159" t="s">
        <v>1074</v>
      </c>
      <c r="D174" s="133"/>
      <c r="E174" s="134">
        <v>3970.0</v>
      </c>
      <c r="F174" s="132" t="b">
        <v>1</v>
      </c>
      <c r="G174" s="132"/>
    </row>
    <row r="175">
      <c r="A175" s="158"/>
      <c r="B175" s="158">
        <v>45916.0</v>
      </c>
      <c r="C175" s="132" t="s">
        <v>1045</v>
      </c>
      <c r="D175" s="133"/>
      <c r="E175" s="134">
        <v>-200.0</v>
      </c>
      <c r="F175" s="132" t="b">
        <v>1</v>
      </c>
      <c r="G175" s="132"/>
    </row>
    <row r="176">
      <c r="A176" s="158"/>
      <c r="B176" s="158">
        <v>45911.0</v>
      </c>
      <c r="C176" s="159" t="s">
        <v>1072</v>
      </c>
      <c r="D176" s="133"/>
      <c r="E176" s="134">
        <v>-176.81</v>
      </c>
      <c r="F176" s="132" t="b">
        <v>1</v>
      </c>
      <c r="G176" s="132"/>
    </row>
    <row r="177">
      <c r="A177" s="158"/>
      <c r="B177" s="158">
        <v>45911.0</v>
      </c>
      <c r="C177" s="159" t="s">
        <v>1072</v>
      </c>
      <c r="D177" s="133"/>
      <c r="E177" s="134">
        <v>-176.84</v>
      </c>
      <c r="F177" s="132" t="b">
        <v>1</v>
      </c>
      <c r="G177" s="132"/>
    </row>
    <row r="178">
      <c r="A178" s="158"/>
      <c r="B178" s="158">
        <v>45910.0</v>
      </c>
      <c r="C178" s="159" t="s">
        <v>1051</v>
      </c>
      <c r="D178" s="133"/>
      <c r="E178" s="134">
        <v>-17.0</v>
      </c>
      <c r="F178" s="132" t="b">
        <v>1</v>
      </c>
      <c r="G178" s="132"/>
    </row>
    <row r="179">
      <c r="A179" s="158"/>
      <c r="B179" s="158">
        <v>45911.0</v>
      </c>
      <c r="C179" s="159" t="s">
        <v>1075</v>
      </c>
      <c r="D179" s="133"/>
      <c r="E179" s="134">
        <v>-30.25</v>
      </c>
      <c r="F179" s="132" t="b">
        <v>1</v>
      </c>
      <c r="G179" s="132"/>
    </row>
    <row r="180">
      <c r="A180" s="158"/>
      <c r="B180" s="158">
        <v>45910.0</v>
      </c>
      <c r="C180" s="132" t="s">
        <v>1059</v>
      </c>
      <c r="D180" s="133"/>
      <c r="E180" s="134">
        <v>-211.81</v>
      </c>
      <c r="F180" s="132" t="b">
        <v>1</v>
      </c>
      <c r="G180" s="132"/>
    </row>
    <row r="181">
      <c r="A181" s="158"/>
      <c r="B181" s="158">
        <v>45908.0</v>
      </c>
      <c r="C181" s="132" t="s">
        <v>1076</v>
      </c>
      <c r="D181" s="133"/>
      <c r="E181" s="134">
        <v>443.71</v>
      </c>
      <c r="F181" s="132" t="b">
        <v>1</v>
      </c>
      <c r="G181" s="132"/>
    </row>
    <row r="182">
      <c r="A182" s="158"/>
      <c r="B182" s="158">
        <v>45904.0</v>
      </c>
      <c r="C182" s="132" t="s">
        <v>1045</v>
      </c>
      <c r="D182" s="133"/>
      <c r="E182" s="134">
        <v>-200.0</v>
      </c>
      <c r="F182" s="132" t="b">
        <v>1</v>
      </c>
      <c r="G182" s="132"/>
    </row>
    <row r="183">
      <c r="A183" s="158"/>
      <c r="B183" s="158">
        <v>45902.0</v>
      </c>
      <c r="C183" s="132" t="s">
        <v>1054</v>
      </c>
      <c r="D183" s="133"/>
      <c r="E183" s="134">
        <v>-120.0</v>
      </c>
      <c r="F183" s="132" t="b">
        <v>1</v>
      </c>
      <c r="G183" s="132"/>
    </row>
    <row r="184">
      <c r="A184" s="158"/>
      <c r="B184" s="158">
        <v>45895.0</v>
      </c>
      <c r="C184" s="132" t="s">
        <v>1059</v>
      </c>
      <c r="D184" s="133"/>
      <c r="E184" s="134">
        <v>-129.06</v>
      </c>
      <c r="F184" s="132" t="b">
        <v>1</v>
      </c>
      <c r="G184" s="132"/>
    </row>
    <row r="185">
      <c r="A185" s="158"/>
      <c r="B185" s="158">
        <v>45895.0</v>
      </c>
      <c r="C185" s="132" t="s">
        <v>1060</v>
      </c>
      <c r="D185" s="133"/>
      <c r="E185" s="134">
        <v>-157.53</v>
      </c>
      <c r="F185" s="132" t="b">
        <v>1</v>
      </c>
      <c r="G185" s="132"/>
    </row>
    <row r="186">
      <c r="A186" s="158"/>
      <c r="B186" s="158">
        <v>45894.0</v>
      </c>
      <c r="C186" s="132" t="s">
        <v>1077</v>
      </c>
      <c r="D186" s="133"/>
      <c r="E186" s="134">
        <v>350.0</v>
      </c>
      <c r="F186" s="132" t="b">
        <v>1</v>
      </c>
      <c r="G186" s="132"/>
    </row>
    <row r="187">
      <c r="A187" s="158"/>
      <c r="B187" s="158">
        <v>45891.0</v>
      </c>
      <c r="C187" s="159" t="s">
        <v>1062</v>
      </c>
      <c r="D187" s="133"/>
      <c r="E187" s="134">
        <v>-18.2</v>
      </c>
      <c r="F187" s="132" t="b">
        <v>1</v>
      </c>
      <c r="G187" s="132"/>
    </row>
    <row r="188">
      <c r="A188" s="158"/>
      <c r="B188" s="158">
        <v>45890.0</v>
      </c>
      <c r="C188" s="132" t="s">
        <v>1045</v>
      </c>
      <c r="D188" s="133"/>
      <c r="E188" s="134">
        <v>-66.33</v>
      </c>
      <c r="F188" s="132" t="b">
        <v>1</v>
      </c>
      <c r="G188" s="132"/>
    </row>
    <row r="189">
      <c r="A189" s="158"/>
      <c r="B189" s="158">
        <v>45888.0</v>
      </c>
      <c r="C189" s="132" t="s">
        <v>1045</v>
      </c>
      <c r="D189" s="133"/>
      <c r="E189" s="134">
        <v>-200.0</v>
      </c>
      <c r="F189" s="132" t="b">
        <v>1</v>
      </c>
      <c r="G189" s="132"/>
    </row>
    <row r="190">
      <c r="A190" s="158"/>
      <c r="B190" s="158">
        <v>45884.0</v>
      </c>
      <c r="C190" s="159" t="s">
        <v>1078</v>
      </c>
      <c r="D190" s="133"/>
      <c r="E190" s="134">
        <v>-270.0</v>
      </c>
      <c r="F190" s="132" t="b">
        <v>1</v>
      </c>
      <c r="G190" s="132"/>
    </row>
    <row r="191">
      <c r="A191" s="158"/>
      <c r="B191" s="158">
        <v>45880.0</v>
      </c>
      <c r="C191" s="159" t="s">
        <v>1071</v>
      </c>
      <c r="D191" s="133"/>
      <c r="E191" s="134">
        <v>-588.0</v>
      </c>
      <c r="F191" s="132" t="b">
        <v>1</v>
      </c>
      <c r="G191" s="132"/>
    </row>
    <row r="192">
      <c r="A192" s="158"/>
      <c r="B192" s="158">
        <v>45880.0</v>
      </c>
      <c r="C192" s="132" t="s">
        <v>1052</v>
      </c>
      <c r="D192" s="133"/>
      <c r="E192" s="134">
        <v>-96.9</v>
      </c>
      <c r="F192" s="132" t="b">
        <v>1</v>
      </c>
      <c r="G192" s="132"/>
    </row>
    <row r="193">
      <c r="A193" s="158"/>
      <c r="B193" s="158">
        <v>45880.0</v>
      </c>
      <c r="C193" s="165" t="s">
        <v>1079</v>
      </c>
      <c r="D193" s="133"/>
      <c r="E193" s="134">
        <v>595.0</v>
      </c>
      <c r="F193" s="132" t="b">
        <v>1</v>
      </c>
      <c r="G193" s="132"/>
    </row>
    <row r="194">
      <c r="A194" s="158"/>
      <c r="B194" s="158">
        <v>45880.0</v>
      </c>
      <c r="C194" s="165" t="s">
        <v>1080</v>
      </c>
      <c r="D194" s="133"/>
      <c r="E194" s="134">
        <v>645.0</v>
      </c>
      <c r="F194" s="132" t="b">
        <v>1</v>
      </c>
      <c r="G194" s="132"/>
    </row>
    <row r="195">
      <c r="A195" s="158"/>
      <c r="B195" s="158">
        <v>45878.0</v>
      </c>
      <c r="C195" s="132" t="s">
        <v>1081</v>
      </c>
      <c r="D195" s="133"/>
      <c r="E195" s="134">
        <v>-390.93</v>
      </c>
      <c r="F195" s="132" t="b">
        <v>1</v>
      </c>
      <c r="G195" s="132"/>
    </row>
    <row r="196">
      <c r="A196" s="158"/>
      <c r="B196" s="158">
        <v>45874.0</v>
      </c>
      <c r="C196" s="132" t="s">
        <v>1045</v>
      </c>
      <c r="D196" s="133"/>
      <c r="E196" s="134">
        <v>-200.0</v>
      </c>
      <c r="F196" s="132" t="b">
        <v>1</v>
      </c>
      <c r="G196" s="132"/>
    </row>
    <row r="197">
      <c r="A197" s="158"/>
      <c r="B197" s="158">
        <v>45874.0</v>
      </c>
      <c r="C197" s="132" t="s">
        <v>1082</v>
      </c>
      <c r="D197" s="133"/>
      <c r="E197" s="134">
        <v>859.1</v>
      </c>
      <c r="F197" s="132" t="b">
        <v>1</v>
      </c>
      <c r="G197" s="132"/>
    </row>
    <row r="198">
      <c r="A198" s="158"/>
      <c r="B198" s="158">
        <v>45873.0</v>
      </c>
      <c r="C198" s="132" t="s">
        <v>1054</v>
      </c>
      <c r="D198" s="133"/>
      <c r="E198" s="134">
        <v>-120.0</v>
      </c>
      <c r="F198" s="132" t="b">
        <v>1</v>
      </c>
      <c r="G198" s="132"/>
    </row>
    <row r="199">
      <c r="A199" s="158"/>
      <c r="B199" s="158">
        <v>45868.0</v>
      </c>
      <c r="C199" s="132" t="s">
        <v>1076</v>
      </c>
      <c r="D199" s="133"/>
      <c r="E199" s="134">
        <v>149.61</v>
      </c>
      <c r="F199" s="132" t="b">
        <v>1</v>
      </c>
      <c r="G199" s="132"/>
    </row>
    <row r="200">
      <c r="A200" s="158"/>
      <c r="B200" s="158">
        <v>45866.0</v>
      </c>
      <c r="C200" s="132" t="s">
        <v>1060</v>
      </c>
      <c r="D200" s="133"/>
      <c r="E200" s="134">
        <v>-139.25</v>
      </c>
      <c r="F200" s="132" t="b">
        <v>1</v>
      </c>
      <c r="G200" s="132"/>
    </row>
    <row r="201">
      <c r="A201" s="158"/>
      <c r="B201" s="158">
        <v>45863.0</v>
      </c>
      <c r="C201" s="132" t="s">
        <v>1059</v>
      </c>
      <c r="D201" s="133"/>
      <c r="E201" s="134">
        <v>-123.29</v>
      </c>
      <c r="F201" s="132" t="b">
        <v>1</v>
      </c>
      <c r="G201" s="132"/>
    </row>
    <row r="202">
      <c r="A202" s="158"/>
      <c r="B202" s="158">
        <v>45860.0</v>
      </c>
      <c r="C202" s="157" t="s">
        <v>1062</v>
      </c>
      <c r="D202" s="133"/>
      <c r="E202" s="134">
        <v>-18.06</v>
      </c>
      <c r="F202" s="132" t="b">
        <v>1</v>
      </c>
      <c r="G202" s="132"/>
    </row>
    <row r="203">
      <c r="A203" s="158"/>
      <c r="B203" s="158">
        <v>45860.0</v>
      </c>
      <c r="C203" s="132" t="s">
        <v>1045</v>
      </c>
      <c r="D203" s="133"/>
      <c r="E203" s="134">
        <v>-15.16</v>
      </c>
      <c r="F203" s="132" t="b">
        <v>1</v>
      </c>
      <c r="G203" s="132"/>
    </row>
    <row r="204">
      <c r="A204" s="158"/>
      <c r="B204" s="158">
        <v>45860.0</v>
      </c>
      <c r="C204" s="132" t="s">
        <v>1045</v>
      </c>
      <c r="D204" s="133"/>
      <c r="E204" s="134">
        <v>-32.8</v>
      </c>
      <c r="F204" s="132" t="b">
        <v>1</v>
      </c>
      <c r="G204" s="132"/>
    </row>
    <row r="205">
      <c r="A205" s="158"/>
      <c r="B205" s="158">
        <v>45856.0</v>
      </c>
      <c r="C205" s="132" t="s">
        <v>1045</v>
      </c>
      <c r="D205" s="133"/>
      <c r="E205" s="134">
        <v>-200.0</v>
      </c>
      <c r="F205" s="132" t="b">
        <v>1</v>
      </c>
      <c r="G205" s="132"/>
    </row>
    <row r="206">
      <c r="A206" s="158"/>
      <c r="B206" s="158">
        <v>45852.0</v>
      </c>
      <c r="C206" s="159" t="s">
        <v>1071</v>
      </c>
      <c r="D206" s="133"/>
      <c r="E206" s="134">
        <v>-490.0</v>
      </c>
      <c r="F206" s="132" t="b">
        <v>1</v>
      </c>
      <c r="G206" s="132"/>
    </row>
    <row r="207">
      <c r="A207" s="158"/>
      <c r="B207" s="158">
        <v>45853.0</v>
      </c>
      <c r="C207" s="159" t="s">
        <v>1074</v>
      </c>
      <c r="D207" s="133"/>
      <c r="E207" s="134">
        <v>1600.0</v>
      </c>
      <c r="F207" s="132" t="b">
        <v>1</v>
      </c>
      <c r="G207" s="132"/>
    </row>
    <row r="208">
      <c r="A208" s="158"/>
      <c r="B208" s="158">
        <v>45847.0</v>
      </c>
      <c r="C208" s="166" t="s">
        <v>1083</v>
      </c>
      <c r="D208" s="133"/>
      <c r="E208" s="134">
        <v>400.0</v>
      </c>
      <c r="F208" s="132" t="b">
        <v>1</v>
      </c>
      <c r="G208" s="132"/>
    </row>
    <row r="209">
      <c r="A209" s="158"/>
      <c r="B209" s="158">
        <v>45846.0</v>
      </c>
      <c r="C209" s="157" t="s">
        <v>1084</v>
      </c>
      <c r="D209" s="133"/>
      <c r="E209" s="134">
        <v>-87.12</v>
      </c>
      <c r="F209" s="132" t="b">
        <v>1</v>
      </c>
      <c r="G209" s="132"/>
    </row>
    <row r="210">
      <c r="A210" s="158"/>
      <c r="B210" s="158">
        <v>45845.0</v>
      </c>
      <c r="C210" s="132" t="s">
        <v>1045</v>
      </c>
      <c r="D210" s="133"/>
      <c r="E210" s="134">
        <v>-200.0</v>
      </c>
      <c r="F210" s="132" t="b">
        <v>1</v>
      </c>
      <c r="G210" s="132"/>
    </row>
    <row r="211">
      <c r="A211" s="158"/>
      <c r="B211" s="158">
        <v>45839.0</v>
      </c>
      <c r="C211" s="159" t="s">
        <v>1070</v>
      </c>
      <c r="D211" s="133"/>
      <c r="E211" s="134">
        <v>-35.0</v>
      </c>
      <c r="F211" s="132" t="b">
        <v>1</v>
      </c>
      <c r="G211" s="132"/>
    </row>
    <row r="212">
      <c r="A212" s="158"/>
      <c r="B212" s="158">
        <v>45840.0</v>
      </c>
      <c r="C212" s="132" t="s">
        <v>1054</v>
      </c>
      <c r="D212" s="133"/>
      <c r="E212" s="134">
        <v>-120.0</v>
      </c>
      <c r="F212" s="132" t="b">
        <v>1</v>
      </c>
      <c r="G212" s="132"/>
    </row>
    <row r="213">
      <c r="A213" s="158"/>
      <c r="B213" s="160"/>
      <c r="C213" s="164"/>
      <c r="D213" s="162"/>
      <c r="E213" s="163"/>
      <c r="F213" s="164"/>
      <c r="G213" s="132"/>
    </row>
    <row r="214">
      <c r="A214" s="158"/>
      <c r="B214" s="158">
        <v>45835.0</v>
      </c>
      <c r="C214" s="132" t="s">
        <v>1085</v>
      </c>
      <c r="D214" s="133"/>
      <c r="E214" s="134">
        <v>-2.5</v>
      </c>
      <c r="F214" s="132" t="b">
        <v>1</v>
      </c>
      <c r="G214" s="132"/>
    </row>
    <row r="215">
      <c r="A215" s="158"/>
      <c r="B215" s="158">
        <v>45835.0</v>
      </c>
      <c r="C215" s="132" t="s">
        <v>1060</v>
      </c>
      <c r="D215" s="133"/>
      <c r="E215" s="134">
        <v>-70.2</v>
      </c>
      <c r="F215" s="132" t="b">
        <v>1</v>
      </c>
      <c r="G215" s="132"/>
    </row>
    <row r="216">
      <c r="A216" s="158"/>
      <c r="B216" s="158">
        <v>45830.0</v>
      </c>
      <c r="C216" s="159" t="s">
        <v>1062</v>
      </c>
      <c r="D216" s="133"/>
      <c r="E216" s="134">
        <v>-18.39</v>
      </c>
      <c r="F216" s="132" t="b">
        <v>1</v>
      </c>
      <c r="G216" s="132"/>
    </row>
    <row r="217">
      <c r="A217" s="158"/>
      <c r="B217" s="158">
        <v>45831.0</v>
      </c>
      <c r="C217" s="132" t="s">
        <v>1045</v>
      </c>
      <c r="D217" s="133"/>
      <c r="E217" s="134">
        <v>-63.58</v>
      </c>
      <c r="F217" s="132" t="b">
        <v>1</v>
      </c>
      <c r="G217" s="132"/>
    </row>
    <row r="218">
      <c r="A218" s="158"/>
      <c r="B218" s="158">
        <v>45827.0</v>
      </c>
      <c r="C218" s="159" t="s">
        <v>1086</v>
      </c>
      <c r="D218" s="133"/>
      <c r="E218" s="134">
        <v>-499.0</v>
      </c>
      <c r="F218" s="132" t="b">
        <v>1</v>
      </c>
      <c r="G218" s="132"/>
    </row>
    <row r="219">
      <c r="A219" s="158"/>
      <c r="B219" s="158">
        <v>45825.0</v>
      </c>
      <c r="C219" s="132" t="s">
        <v>1045</v>
      </c>
      <c r="D219" s="133"/>
      <c r="E219" s="134">
        <v>-200.0</v>
      </c>
      <c r="F219" s="132" t="b">
        <v>1</v>
      </c>
      <c r="G219" s="132"/>
    </row>
    <row r="220">
      <c r="A220" s="158"/>
      <c r="B220" s="158">
        <v>45812.0</v>
      </c>
      <c r="C220" s="132" t="s">
        <v>1045</v>
      </c>
      <c r="D220" s="133"/>
      <c r="E220" s="134">
        <v>-200.0</v>
      </c>
      <c r="F220" s="132" t="b">
        <v>1</v>
      </c>
      <c r="G220" s="132"/>
    </row>
    <row r="221">
      <c r="A221" s="158"/>
      <c r="B221" s="158">
        <v>45810.0</v>
      </c>
      <c r="C221" s="132" t="s">
        <v>1054</v>
      </c>
      <c r="D221" s="133"/>
      <c r="E221" s="134">
        <v>-120.0</v>
      </c>
      <c r="F221" s="132" t="b">
        <v>1</v>
      </c>
      <c r="G221" s="132"/>
    </row>
    <row r="222">
      <c r="A222" s="158"/>
      <c r="B222" s="158">
        <v>45810.0</v>
      </c>
      <c r="C222" s="132" t="s">
        <v>1076</v>
      </c>
      <c r="D222" s="133"/>
      <c r="E222" s="134">
        <v>148.4</v>
      </c>
      <c r="F222" s="132" t="b">
        <v>1</v>
      </c>
      <c r="G222" s="132"/>
    </row>
    <row r="223">
      <c r="A223" s="158"/>
      <c r="B223" s="158">
        <v>45810.0</v>
      </c>
      <c r="C223" s="132" t="s">
        <v>1087</v>
      </c>
      <c r="D223" s="133"/>
      <c r="E223" s="134">
        <v>545.0</v>
      </c>
      <c r="F223" s="132" t="b">
        <v>1</v>
      </c>
      <c r="G223" s="132"/>
    </row>
    <row r="224">
      <c r="A224" s="158"/>
      <c r="B224" s="158">
        <v>45809.0</v>
      </c>
      <c r="C224" s="159" t="s">
        <v>1088</v>
      </c>
      <c r="D224" s="133"/>
      <c r="E224" s="134">
        <v>-104.9</v>
      </c>
      <c r="F224" s="132" t="b">
        <v>1</v>
      </c>
      <c r="G224" s="132"/>
    </row>
    <row r="225">
      <c r="A225" s="158"/>
      <c r="B225" s="158">
        <v>45804.0</v>
      </c>
      <c r="C225" s="159" t="s">
        <v>1089</v>
      </c>
      <c r="D225" s="133"/>
      <c r="E225" s="134">
        <v>-174.24</v>
      </c>
      <c r="F225" s="132" t="b">
        <v>1</v>
      </c>
      <c r="G225" s="132"/>
    </row>
    <row r="226">
      <c r="A226" s="158"/>
      <c r="B226" s="158">
        <v>45803.0</v>
      </c>
      <c r="C226" s="132" t="s">
        <v>1060</v>
      </c>
      <c r="D226" s="133"/>
      <c r="E226" s="134">
        <v>-59.97</v>
      </c>
      <c r="F226" s="132" t="b">
        <v>1</v>
      </c>
      <c r="G226" s="132"/>
    </row>
    <row r="227">
      <c r="A227" s="158"/>
      <c r="B227" s="158">
        <v>45803.0</v>
      </c>
      <c r="C227" s="132" t="s">
        <v>1076</v>
      </c>
      <c r="D227" s="133"/>
      <c r="E227" s="134">
        <v>149.61</v>
      </c>
      <c r="F227" s="132" t="b">
        <v>1</v>
      </c>
      <c r="G227" s="132"/>
    </row>
    <row r="228">
      <c r="A228" s="158"/>
      <c r="B228" s="158">
        <v>45799.0</v>
      </c>
      <c r="C228" s="159" t="s">
        <v>1062</v>
      </c>
      <c r="D228" s="133"/>
      <c r="E228" s="134">
        <v>-18.7</v>
      </c>
      <c r="F228" s="132" t="b">
        <v>1</v>
      </c>
      <c r="G228" s="132"/>
    </row>
    <row r="229">
      <c r="A229" s="158"/>
      <c r="B229" s="158">
        <v>45798.0</v>
      </c>
      <c r="C229" s="132" t="s">
        <v>1045</v>
      </c>
      <c r="D229" s="133"/>
      <c r="E229" s="134">
        <v>-51.47</v>
      </c>
      <c r="F229" s="132" t="b">
        <v>1</v>
      </c>
      <c r="G229" s="132"/>
    </row>
    <row r="230">
      <c r="A230" s="158"/>
      <c r="B230" s="158">
        <v>45798.0</v>
      </c>
      <c r="C230" s="132" t="s">
        <v>1076</v>
      </c>
      <c r="D230" s="133"/>
      <c r="E230" s="134">
        <v>746.84</v>
      </c>
      <c r="F230" s="132" t="b">
        <v>1</v>
      </c>
      <c r="G230" s="132"/>
    </row>
    <row r="231">
      <c r="A231" s="158"/>
      <c r="B231" s="158">
        <v>45797.0</v>
      </c>
      <c r="C231" s="132" t="s">
        <v>1045</v>
      </c>
      <c r="D231" s="133"/>
      <c r="E231" s="134">
        <v>-200.0</v>
      </c>
      <c r="F231" s="132" t="b">
        <v>1</v>
      </c>
      <c r="G231" s="132"/>
    </row>
    <row r="232">
      <c r="A232" s="158"/>
      <c r="B232" s="158">
        <v>45796.0</v>
      </c>
      <c r="C232" s="159" t="s">
        <v>1071</v>
      </c>
      <c r="D232" s="133"/>
      <c r="E232" s="134">
        <v>-619.14</v>
      </c>
      <c r="F232" s="132" t="b">
        <v>1</v>
      </c>
      <c r="G232" s="132"/>
    </row>
    <row r="233">
      <c r="A233" s="158"/>
      <c r="B233" s="158">
        <v>45786.0</v>
      </c>
      <c r="C233" s="132" t="s">
        <v>1081</v>
      </c>
      <c r="D233" s="133"/>
      <c r="E233" s="134">
        <v>-433.31</v>
      </c>
      <c r="F233" s="132" t="b">
        <v>1</v>
      </c>
      <c r="G233" s="132"/>
    </row>
    <row r="234">
      <c r="A234" s="158"/>
      <c r="B234" s="158">
        <v>45783.0</v>
      </c>
      <c r="C234" s="132" t="s">
        <v>1045</v>
      </c>
      <c r="D234" s="133"/>
      <c r="E234" s="134">
        <v>-200.0</v>
      </c>
      <c r="F234" s="132" t="b">
        <v>1</v>
      </c>
      <c r="G234" s="132"/>
    </row>
    <row r="235">
      <c r="A235" s="158"/>
      <c r="B235" s="158">
        <v>45783.0</v>
      </c>
      <c r="C235" s="157" t="s">
        <v>1090</v>
      </c>
      <c r="D235" s="133"/>
      <c r="E235" s="134">
        <v>-238.0</v>
      </c>
      <c r="F235" s="132" t="b">
        <v>1</v>
      </c>
      <c r="G235" s="132"/>
    </row>
    <row r="236">
      <c r="A236" s="158"/>
      <c r="B236" s="158">
        <v>45779.0</v>
      </c>
      <c r="C236" s="132" t="s">
        <v>1054</v>
      </c>
      <c r="D236" s="133"/>
      <c r="E236" s="134">
        <v>-120.0</v>
      </c>
      <c r="F236" s="132" t="b">
        <v>1</v>
      </c>
      <c r="G236" s="132"/>
    </row>
    <row r="237">
      <c r="A237" s="158"/>
      <c r="B237" s="158">
        <v>45777.0</v>
      </c>
      <c r="C237" s="132" t="s">
        <v>1076</v>
      </c>
      <c r="D237" s="133"/>
      <c r="E237" s="134">
        <v>147.05</v>
      </c>
      <c r="F237" s="132" t="b">
        <v>1</v>
      </c>
      <c r="G237" s="132"/>
    </row>
    <row r="238">
      <c r="A238" s="158"/>
      <c r="B238" s="158">
        <v>45776.0</v>
      </c>
      <c r="C238" s="132" t="s">
        <v>1068</v>
      </c>
      <c r="D238" s="133"/>
      <c r="E238" s="134">
        <v>-203.76</v>
      </c>
      <c r="F238" s="132" t="b">
        <v>1</v>
      </c>
      <c r="G238" s="132"/>
    </row>
    <row r="239">
      <c r="A239" s="158"/>
      <c r="B239" s="158">
        <v>45776.0</v>
      </c>
      <c r="C239" s="132" t="s">
        <v>1076</v>
      </c>
      <c r="D239" s="133"/>
      <c r="E239" s="134">
        <v>149.61</v>
      </c>
      <c r="F239" s="132" t="b">
        <v>1</v>
      </c>
      <c r="G239" s="132"/>
    </row>
    <row r="240">
      <c r="A240" s="158"/>
      <c r="B240" s="158">
        <v>45775.0</v>
      </c>
      <c r="C240" s="132" t="s">
        <v>1060</v>
      </c>
      <c r="D240" s="133"/>
      <c r="E240" s="134">
        <v>-56.5</v>
      </c>
      <c r="F240" s="132" t="b">
        <v>1</v>
      </c>
      <c r="G240" s="132"/>
    </row>
    <row r="241">
      <c r="A241" s="158"/>
      <c r="B241" s="158">
        <v>45772.0</v>
      </c>
      <c r="C241" s="156" t="s">
        <v>1091</v>
      </c>
      <c r="D241" s="133"/>
      <c r="E241" s="134">
        <v>-111.33</v>
      </c>
      <c r="F241" s="132" t="b">
        <v>1</v>
      </c>
      <c r="G241" s="132"/>
    </row>
    <row r="242">
      <c r="A242" s="158"/>
      <c r="B242" s="158">
        <v>45772.0</v>
      </c>
      <c r="C242" s="132" t="s">
        <v>1076</v>
      </c>
      <c r="D242" s="133"/>
      <c r="E242" s="134">
        <v>147.05</v>
      </c>
      <c r="F242" s="132" t="b">
        <v>1</v>
      </c>
      <c r="G242" s="132"/>
    </row>
    <row r="243" ht="18.0" customHeight="1">
      <c r="A243" s="158"/>
      <c r="B243" s="158">
        <v>45769.0</v>
      </c>
      <c r="C243" s="159" t="s">
        <v>1062</v>
      </c>
      <c r="D243" s="133"/>
      <c r="E243" s="134">
        <v>-18.39</v>
      </c>
      <c r="F243" s="132" t="b">
        <v>1</v>
      </c>
      <c r="G243" s="132"/>
    </row>
    <row r="244">
      <c r="A244" s="158"/>
      <c r="B244" s="158">
        <v>45770.0</v>
      </c>
      <c r="C244" s="132" t="s">
        <v>1045</v>
      </c>
      <c r="D244" s="133"/>
      <c r="E244" s="134">
        <v>-61.6</v>
      </c>
      <c r="F244" s="132" t="b">
        <v>1</v>
      </c>
      <c r="G244" s="132"/>
    </row>
    <row r="245">
      <c r="A245" s="158"/>
      <c r="B245" s="158">
        <v>45765.0</v>
      </c>
      <c r="C245" s="132" t="s">
        <v>1067</v>
      </c>
      <c r="D245" s="133"/>
      <c r="E245" s="134">
        <v>-544.5</v>
      </c>
      <c r="F245" s="132" t="b">
        <v>1</v>
      </c>
      <c r="G245" s="132"/>
    </row>
    <row r="246">
      <c r="A246" s="158"/>
      <c r="B246" s="158">
        <v>45764.0</v>
      </c>
      <c r="C246" s="132" t="s">
        <v>1045</v>
      </c>
      <c r="D246" s="133"/>
      <c r="E246" s="134">
        <v>-200.0</v>
      </c>
      <c r="F246" s="132" t="b">
        <v>1</v>
      </c>
      <c r="G246" s="132"/>
    </row>
    <row r="247">
      <c r="A247" s="158"/>
      <c r="B247" s="158">
        <v>45762.0</v>
      </c>
      <c r="C247" s="132" t="s">
        <v>1067</v>
      </c>
      <c r="D247" s="133"/>
      <c r="E247" s="134">
        <v>-544.5</v>
      </c>
      <c r="F247" s="132" t="b">
        <v>1</v>
      </c>
      <c r="G247" s="132"/>
    </row>
    <row r="248">
      <c r="A248" s="158"/>
      <c r="B248" s="158">
        <v>45763.0</v>
      </c>
      <c r="C248" s="132" t="s">
        <v>1076</v>
      </c>
      <c r="D248" s="133"/>
      <c r="E248" s="134">
        <v>1782.22</v>
      </c>
      <c r="F248" s="132" t="b">
        <v>1</v>
      </c>
      <c r="G248" s="132"/>
    </row>
    <row r="249">
      <c r="A249" s="158"/>
      <c r="B249" s="158">
        <v>45759.0</v>
      </c>
      <c r="C249" s="159" t="s">
        <v>1092</v>
      </c>
      <c r="D249" s="133"/>
      <c r="E249" s="134">
        <v>-97.11</v>
      </c>
      <c r="F249" s="132" t="b">
        <v>1</v>
      </c>
      <c r="G249" s="132"/>
    </row>
    <row r="250">
      <c r="A250" s="158"/>
      <c r="B250" s="158">
        <v>45748.0</v>
      </c>
      <c r="C250" s="159" t="s">
        <v>1070</v>
      </c>
      <c r="D250" s="133"/>
      <c r="E250" s="134">
        <v>-35.0</v>
      </c>
      <c r="F250" s="132" t="b">
        <v>1</v>
      </c>
      <c r="G250" s="132"/>
    </row>
    <row r="251">
      <c r="A251" s="158"/>
      <c r="B251" s="158">
        <v>45751.0</v>
      </c>
      <c r="C251" s="132" t="s">
        <v>1045</v>
      </c>
      <c r="D251" s="133"/>
      <c r="E251" s="134">
        <v>-200.0</v>
      </c>
      <c r="F251" s="132" t="b">
        <v>1</v>
      </c>
      <c r="G251" s="132"/>
    </row>
    <row r="252">
      <c r="A252" s="158"/>
      <c r="B252" s="158">
        <v>45749.0</v>
      </c>
      <c r="C252" s="132" t="s">
        <v>1054</v>
      </c>
      <c r="D252" s="133"/>
      <c r="E252" s="134">
        <v>-120.0</v>
      </c>
      <c r="F252" s="132" t="b">
        <v>1</v>
      </c>
      <c r="G252" s="132"/>
    </row>
    <row r="253">
      <c r="A253" s="158"/>
      <c r="B253" s="158">
        <v>45749.0</v>
      </c>
      <c r="C253" s="132" t="s">
        <v>1093</v>
      </c>
      <c r="D253" s="133"/>
      <c r="E253" s="134">
        <v>-1133.0</v>
      </c>
      <c r="F253" s="132" t="b">
        <v>1</v>
      </c>
      <c r="G253" s="132"/>
    </row>
    <row r="254">
      <c r="A254" s="158"/>
      <c r="B254" s="158">
        <v>45744.0</v>
      </c>
      <c r="C254" s="132" t="s">
        <v>1060</v>
      </c>
      <c r="D254" s="133"/>
      <c r="E254" s="134">
        <v>-54.99</v>
      </c>
      <c r="F254" s="132" t="b">
        <v>1</v>
      </c>
      <c r="G254" s="132"/>
    </row>
    <row r="255">
      <c r="A255" s="158"/>
      <c r="B255" s="158">
        <v>45738.0</v>
      </c>
      <c r="C255" s="156" t="s">
        <v>1062</v>
      </c>
      <c r="D255" s="133"/>
      <c r="E255" s="134">
        <v>-19.06</v>
      </c>
      <c r="F255" s="132" t="b">
        <v>1</v>
      </c>
      <c r="G255" s="132"/>
    </row>
    <row r="256">
      <c r="A256" s="158"/>
      <c r="B256" s="158">
        <v>45737.0</v>
      </c>
      <c r="C256" s="132" t="s">
        <v>1045</v>
      </c>
      <c r="D256" s="133"/>
      <c r="E256" s="134">
        <v>-20.4</v>
      </c>
      <c r="F256" s="132" t="b">
        <v>1</v>
      </c>
      <c r="G256" s="132"/>
    </row>
    <row r="257">
      <c r="A257" s="158"/>
      <c r="B257" s="158">
        <v>45736.0</v>
      </c>
      <c r="C257" s="132" t="s">
        <v>1045</v>
      </c>
      <c r="D257" s="133"/>
      <c r="E257" s="134">
        <v>-200.0</v>
      </c>
      <c r="F257" s="132" t="b">
        <v>1</v>
      </c>
      <c r="G257" s="132"/>
    </row>
    <row r="258">
      <c r="A258" s="158"/>
      <c r="B258" s="158">
        <v>45727.0</v>
      </c>
      <c r="C258" s="156" t="s">
        <v>1094</v>
      </c>
      <c r="D258" s="133"/>
      <c r="E258" s="134">
        <v>-479.0</v>
      </c>
      <c r="F258" s="132" t="b">
        <v>1</v>
      </c>
      <c r="G258" s="132"/>
    </row>
    <row r="259">
      <c r="A259" s="158"/>
      <c r="B259" s="158">
        <v>45727.0</v>
      </c>
      <c r="C259" s="156" t="s">
        <v>1095</v>
      </c>
      <c r="D259" s="133"/>
      <c r="E259" s="134">
        <v>-423.62</v>
      </c>
      <c r="F259" s="132" t="b">
        <v>1</v>
      </c>
      <c r="G259" s="132"/>
    </row>
    <row r="260">
      <c r="A260" s="158"/>
      <c r="B260" s="158">
        <v>45723.0</v>
      </c>
      <c r="C260" s="132" t="s">
        <v>1045</v>
      </c>
      <c r="D260" s="133"/>
      <c r="E260" s="134">
        <v>-200.0</v>
      </c>
      <c r="F260" s="132" t="b">
        <v>1</v>
      </c>
      <c r="G260" s="132"/>
    </row>
    <row r="261">
      <c r="A261" s="158"/>
      <c r="B261" s="158">
        <v>45722.0</v>
      </c>
      <c r="C261" s="132" t="s">
        <v>1096</v>
      </c>
      <c r="D261" s="133"/>
      <c r="E261" s="134">
        <v>400.0</v>
      </c>
      <c r="F261" s="132" t="b">
        <v>1</v>
      </c>
      <c r="G261" s="132"/>
    </row>
    <row r="262">
      <c r="A262" s="158"/>
      <c r="B262" s="158">
        <v>45719.0</v>
      </c>
      <c r="C262" s="132" t="s">
        <v>1054</v>
      </c>
      <c r="D262" s="133"/>
      <c r="E262" s="134">
        <v>-120.0</v>
      </c>
      <c r="F262" s="132" t="b">
        <v>1</v>
      </c>
      <c r="G262" s="132"/>
    </row>
    <row r="263">
      <c r="A263" s="158"/>
      <c r="B263" s="160"/>
      <c r="C263" s="164"/>
      <c r="D263" s="162"/>
      <c r="E263" s="163"/>
      <c r="F263" s="164"/>
      <c r="G263" s="132"/>
    </row>
    <row r="264">
      <c r="A264" s="158"/>
      <c r="B264" s="158">
        <v>45716.0</v>
      </c>
      <c r="C264" s="132" t="s">
        <v>1060</v>
      </c>
      <c r="D264" s="133"/>
      <c r="E264" s="134">
        <v>-55.65</v>
      </c>
      <c r="F264" s="132" t="b">
        <v>1</v>
      </c>
      <c r="G264" s="132"/>
    </row>
    <row r="265">
      <c r="A265" s="158"/>
      <c r="B265" s="158">
        <v>45716.0</v>
      </c>
      <c r="C265" s="156" t="s">
        <v>1097</v>
      </c>
      <c r="D265" s="133"/>
      <c r="E265" s="134">
        <v>-91.8</v>
      </c>
      <c r="F265" s="132" t="b">
        <v>1</v>
      </c>
      <c r="G265" s="132"/>
    </row>
    <row r="266">
      <c r="A266" s="158"/>
      <c r="B266" s="158">
        <v>45712.0</v>
      </c>
      <c r="C266" s="132" t="s">
        <v>1098</v>
      </c>
      <c r="D266" s="133"/>
      <c r="E266" s="134">
        <v>150.0</v>
      </c>
      <c r="F266" s="132" t="b">
        <v>1</v>
      </c>
      <c r="G266" s="132"/>
    </row>
    <row r="267">
      <c r="A267" s="158"/>
      <c r="B267" s="158">
        <v>45710.0</v>
      </c>
      <c r="C267" s="156" t="s">
        <v>1062</v>
      </c>
      <c r="D267" s="133"/>
      <c r="E267" s="134">
        <v>-19.68</v>
      </c>
      <c r="F267" s="132" t="b">
        <v>1</v>
      </c>
      <c r="G267" s="132"/>
    </row>
    <row r="268">
      <c r="A268" s="158"/>
      <c r="B268" s="158">
        <v>45709.0</v>
      </c>
      <c r="C268" s="132" t="s">
        <v>1045</v>
      </c>
      <c r="D268" s="133"/>
      <c r="E268" s="134">
        <v>-63.16</v>
      </c>
      <c r="F268" s="132" t="b">
        <v>1</v>
      </c>
      <c r="G268" s="132"/>
    </row>
    <row r="269">
      <c r="A269" s="158"/>
      <c r="B269" s="158">
        <v>45706.0</v>
      </c>
      <c r="C269" s="132" t="s">
        <v>1045</v>
      </c>
      <c r="D269" s="133"/>
      <c r="E269" s="134">
        <v>-200.0</v>
      </c>
      <c r="F269" s="132" t="b">
        <v>1</v>
      </c>
      <c r="G269" s="132"/>
    </row>
    <row r="270">
      <c r="A270" s="158"/>
      <c r="B270" s="158">
        <v>45696.0</v>
      </c>
      <c r="C270" s="132" t="s">
        <v>1081</v>
      </c>
      <c r="D270" s="133"/>
      <c r="E270" s="134">
        <v>-730.08</v>
      </c>
      <c r="F270" s="132" t="b">
        <v>1</v>
      </c>
      <c r="G270" s="132"/>
    </row>
    <row r="271">
      <c r="A271" s="158"/>
      <c r="B271" s="158">
        <v>45693.0</v>
      </c>
      <c r="C271" s="132" t="s">
        <v>1093</v>
      </c>
      <c r="D271" s="133"/>
      <c r="E271" s="134">
        <v>-1326.83</v>
      </c>
      <c r="F271" s="132" t="b">
        <v>1</v>
      </c>
      <c r="G271" s="132"/>
    </row>
    <row r="272">
      <c r="A272" s="158"/>
      <c r="B272" s="158">
        <v>45692.0</v>
      </c>
      <c r="C272" s="132" t="s">
        <v>1045</v>
      </c>
      <c r="D272" s="133"/>
      <c r="E272" s="134">
        <v>-200.0</v>
      </c>
      <c r="F272" s="132" t="b">
        <v>1</v>
      </c>
      <c r="G272" s="132"/>
    </row>
    <row r="273">
      <c r="A273" s="158"/>
      <c r="B273" s="158">
        <v>45691.0</v>
      </c>
      <c r="C273" s="132" t="s">
        <v>1054</v>
      </c>
      <c r="D273" s="133"/>
      <c r="E273" s="134">
        <v>-120.0</v>
      </c>
      <c r="F273" s="132" t="b">
        <v>1</v>
      </c>
      <c r="G273" s="132"/>
    </row>
    <row r="274">
      <c r="A274" s="158"/>
      <c r="B274" s="158">
        <v>45687.0</v>
      </c>
      <c r="C274" s="157" t="s">
        <v>1097</v>
      </c>
      <c r="D274" s="133"/>
      <c r="E274" s="134">
        <v>-129.55</v>
      </c>
      <c r="F274" s="132" t="b">
        <v>1</v>
      </c>
      <c r="G274" s="132"/>
    </row>
    <row r="275">
      <c r="A275" s="158"/>
      <c r="B275" s="158">
        <v>45684.0</v>
      </c>
      <c r="C275" s="132" t="s">
        <v>1060</v>
      </c>
      <c r="D275" s="133"/>
      <c r="E275" s="134">
        <v>-61.27</v>
      </c>
      <c r="F275" s="132" t="b">
        <v>1</v>
      </c>
      <c r="G275" s="132"/>
    </row>
    <row r="276">
      <c r="A276" s="158"/>
      <c r="B276" s="158">
        <v>45681.0</v>
      </c>
      <c r="C276" s="156" t="s">
        <v>1099</v>
      </c>
      <c r="D276" s="133"/>
      <c r="E276" s="134">
        <v>-110.62</v>
      </c>
      <c r="F276" s="132" t="b">
        <v>1</v>
      </c>
      <c r="G276" s="132"/>
    </row>
    <row r="277">
      <c r="A277" s="158"/>
      <c r="B277" s="158">
        <v>45679.0</v>
      </c>
      <c r="C277" s="167" t="s">
        <v>1062</v>
      </c>
      <c r="D277" s="133"/>
      <c r="E277" s="134">
        <v>-19.88</v>
      </c>
      <c r="F277" s="132" t="b">
        <v>1</v>
      </c>
      <c r="G277" s="132"/>
    </row>
    <row r="278">
      <c r="A278" s="158"/>
      <c r="B278" s="158">
        <v>45678.0</v>
      </c>
      <c r="C278" s="132" t="s">
        <v>1045</v>
      </c>
      <c r="D278" s="133"/>
      <c r="E278" s="134">
        <v>-63.73</v>
      </c>
      <c r="F278" s="132" t="b">
        <v>1</v>
      </c>
      <c r="G278" s="132"/>
    </row>
    <row r="279">
      <c r="A279" s="158"/>
      <c r="B279" s="158">
        <v>45677.0</v>
      </c>
      <c r="C279" s="159" t="s">
        <v>1100</v>
      </c>
      <c r="D279" s="133"/>
      <c r="E279" s="134">
        <v>-349.0</v>
      </c>
      <c r="F279" s="132" t="b">
        <v>1</v>
      </c>
      <c r="G279" s="132"/>
    </row>
    <row r="280">
      <c r="A280" s="158"/>
      <c r="B280" s="158">
        <v>45674.0</v>
      </c>
      <c r="C280" s="132" t="s">
        <v>1045</v>
      </c>
      <c r="D280" s="133"/>
      <c r="E280" s="134">
        <v>-200.0</v>
      </c>
      <c r="F280" s="132" t="b">
        <v>1</v>
      </c>
      <c r="G280" s="132"/>
    </row>
    <row r="281">
      <c r="A281" s="158"/>
      <c r="B281" s="158">
        <v>45671.0</v>
      </c>
      <c r="C281" s="132" t="s">
        <v>1101</v>
      </c>
      <c r="D281" s="133"/>
      <c r="E281" s="134">
        <v>-2178.0</v>
      </c>
      <c r="F281" s="132" t="b">
        <v>1</v>
      </c>
      <c r="G281" s="132"/>
    </row>
    <row r="282">
      <c r="A282" s="158"/>
      <c r="B282" s="158">
        <v>45666.0</v>
      </c>
      <c r="C282" s="132" t="s">
        <v>1081</v>
      </c>
      <c r="D282" s="133"/>
      <c r="E282" s="134">
        <v>-938.49</v>
      </c>
      <c r="F282" s="132" t="b">
        <v>1</v>
      </c>
      <c r="G282" s="132"/>
    </row>
    <row r="283">
      <c r="A283" s="158"/>
      <c r="B283" s="158">
        <v>45666.0</v>
      </c>
      <c r="C283" s="132" t="s">
        <v>1102</v>
      </c>
      <c r="D283" s="133"/>
      <c r="E283" s="134">
        <v>700.0</v>
      </c>
      <c r="F283" s="132" t="b">
        <v>1</v>
      </c>
      <c r="G283" s="132"/>
    </row>
    <row r="284">
      <c r="A284" s="158"/>
      <c r="B284" s="158">
        <v>45665.0</v>
      </c>
      <c r="C284" s="159" t="s">
        <v>1070</v>
      </c>
      <c r="D284" s="133"/>
      <c r="E284" s="134">
        <v>-35.0</v>
      </c>
      <c r="F284" s="132" t="b">
        <v>1</v>
      </c>
      <c r="G284" s="132"/>
    </row>
    <row r="285">
      <c r="A285" s="158"/>
      <c r="B285" s="158">
        <v>45663.0</v>
      </c>
      <c r="C285" s="132" t="s">
        <v>1103</v>
      </c>
      <c r="D285" s="133"/>
      <c r="E285" s="134">
        <v>847.0</v>
      </c>
      <c r="F285" s="132" t="b">
        <v>1</v>
      </c>
      <c r="G285" s="132"/>
    </row>
    <row r="286">
      <c r="A286" s="158"/>
      <c r="B286" s="158">
        <v>45660.0</v>
      </c>
      <c r="C286" s="132" t="s">
        <v>1045</v>
      </c>
      <c r="D286" s="133"/>
      <c r="E286" s="134">
        <v>-200.0</v>
      </c>
      <c r="F286" s="132" t="b">
        <v>1</v>
      </c>
      <c r="G286" s="132"/>
    </row>
    <row r="287">
      <c r="A287" s="158"/>
      <c r="B287" s="158">
        <v>45659.0</v>
      </c>
      <c r="C287" s="132" t="s">
        <v>1054</v>
      </c>
      <c r="D287" s="133"/>
      <c r="E287" s="134">
        <v>-120.0</v>
      </c>
      <c r="F287" s="132" t="b">
        <v>1</v>
      </c>
      <c r="G287" s="132"/>
    </row>
    <row r="288">
      <c r="D288" s="22"/>
      <c r="E288" s="168"/>
      <c r="F288" s="132"/>
      <c r="G288" s="132"/>
    </row>
  </sheetData>
  <mergeCells count="25">
    <mergeCell ref="E27:E28"/>
    <mergeCell ref="E29:E30"/>
    <mergeCell ref="E52:E53"/>
    <mergeCell ref="E54:E55"/>
    <mergeCell ref="C3:C4"/>
    <mergeCell ref="D3:D4"/>
    <mergeCell ref="E3:E4"/>
    <mergeCell ref="E5:E6"/>
    <mergeCell ref="C9:E9"/>
    <mergeCell ref="D27:D28"/>
    <mergeCell ref="C33:E33"/>
    <mergeCell ref="E79:E80"/>
    <mergeCell ref="C83:E83"/>
    <mergeCell ref="C101:C102"/>
    <mergeCell ref="D101:D102"/>
    <mergeCell ref="E101:E102"/>
    <mergeCell ref="E103:E104"/>
    <mergeCell ref="C107:E107"/>
    <mergeCell ref="C27:C28"/>
    <mergeCell ref="C52:C53"/>
    <mergeCell ref="D52:D53"/>
    <mergeCell ref="C58:E58"/>
    <mergeCell ref="C77:C78"/>
    <mergeCell ref="D77:D78"/>
    <mergeCell ref="E77:E78"/>
  </mergeCells>
  <conditionalFormatting sqref="E5:E6 E29:E30 E54:E55 E79:E80 E103:E104">
    <cfRule type="cellIs" dxfId="4" priority="1" operator="lessThan">
      <formula>0</formula>
    </cfRule>
  </conditionalFormatting>
  <conditionalFormatting sqref="E1:E288">
    <cfRule type="cellIs" dxfId="5" priority="2" operator="lessThan">
      <formula>0</formula>
    </cfRule>
  </conditionalFormatting>
  <hyperlinks>
    <hyperlink r:id="rId1" ref="C193"/>
    <hyperlink r:id="rId2" ref="C194"/>
  </hyperlinks>
  <drawing r:id="rId3"/>
</worksheet>
</file>